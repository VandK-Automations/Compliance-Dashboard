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Master" sheetId="1" state="visible" r:id="rId3"/>
    <sheet name="TB" sheetId="2" state="visible" r:id="rId4"/>
    <sheet name="BS" sheetId="3" state="visible" r:id="rId5"/>
    <sheet name="PL" sheetId="4" state="visible" r:id="rId6"/>
    <sheet name="2.1" sheetId="5" state="visible" r:id="rId7"/>
    <sheet name="2.2 - 2.10" sheetId="6" state="visible" r:id="rId8"/>
    <sheet name="2.11-2.12" sheetId="7" state="visible" r:id="rId9"/>
    <sheet name="Flags" sheetId="8" state="visible" r:id="rId10"/>
  </sheets>
  <definedNames>
    <definedName function="false" hidden="false" localSheetId="4" name="_xlnm.Print_Area" vbProcedure="false">'2.1'!$A$1:$E$30</definedName>
    <definedName function="false" hidden="false" localSheetId="6" name="_xlnm.Print_Area" vbProcedure="false">'2.11-2.12'!$A$1:$E$43</definedName>
    <definedName function="false" hidden="false" localSheetId="5" name="_xlnm.Print_Area" vbProcedure="false">'2.2 - 2.10'!$B$1:$E$105</definedName>
    <definedName function="false" hidden="false" localSheetId="5" name="_xlnm.Print_Titles" vbProcedure="false">'2.2 - 2.10'!$1:$6</definedName>
    <definedName function="false" hidden="false" localSheetId="2" name="_xlnm.Print_Area" vbProcedure="false">BS!$A$1:$E$46</definedName>
    <definedName function="false" hidden="false" localSheetId="7" name="_xlnm.Print_Area" vbProcedure="false">Flags!$A$1:$D$24</definedName>
    <definedName function="false" hidden="false" localSheetId="0" name="_xlnm.Print_Area" vbProcedure="false">Master!$A$1:$E$42</definedName>
    <definedName function="false" hidden="false" localSheetId="3" name="_xlnm.Print_Area" vbProcedure="false">PL!$A$1:$E$42</definedName>
    <definedName function="false" hidden="false" localSheetId="1" name="_xlnm.Print_Area" vbProcedure="false">TB!$A$1:$J$79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<sst xmlns="http://schemas.openxmlformats.org/spreadsheetml/2006/main" count="659" uniqueCount="345">
  <si>
    <t xml:space="preserve">Name of the LLP</t>
  </si>
  <si>
    <t xml:space="preserve">Daivbharathi Technologies LLP</t>
  </si>
  <si>
    <t xml:space="preserve">Address</t>
  </si>
  <si>
    <t xml:space="preserve">No 63, 1st Floor, 1st Main, 7th Block, Koramangala VI Block, Bangalore 560095</t>
  </si>
  <si>
    <t xml:space="preserve">LLPIN</t>
  </si>
  <si>
    <t xml:space="preserve">[To be provided]</t>
  </si>
  <si>
    <t xml:space="preserve">Period</t>
  </si>
  <si>
    <t xml:space="preserve">2025-26</t>
  </si>
  <si>
    <t xml:space="preserve">PAN</t>
  </si>
  <si>
    <t xml:space="preserve">Financial Year Opening Date</t>
  </si>
  <si>
    <t xml:space="preserve">Financial Year Closing Date</t>
  </si>
  <si>
    <t xml:space="preserve">Previous Year Closing Date</t>
  </si>
  <si>
    <t xml:space="preserve">Trial Balance period as per Tally (CY)</t>
  </si>
  <si>
    <t xml:space="preserve">1-Apr-25 to 23-Mar-26</t>
  </si>
  <si>
    <t xml:space="preserve">Trial Balance period as per Tally (PY)</t>
  </si>
  <si>
    <t xml:space="preserve">1-Apr-24 to 31-Mar-25</t>
  </si>
  <si>
    <t xml:space="preserve">Auditor's Name</t>
  </si>
  <si>
    <t xml:space="preserve">Designation</t>
  </si>
  <si>
    <t xml:space="preserve">Membership No.</t>
  </si>
  <si>
    <t xml:space="preserve">Audit Firm Name</t>
  </si>
  <si>
    <t xml:space="preserve">Firm Registration No. (FRN)</t>
  </si>
  <si>
    <t xml:space="preserve">UDIN</t>
  </si>
  <si>
    <t xml:space="preserve">Date (Auditor)</t>
  </si>
  <si>
    <t xml:space="preserve">Place (Auditor)</t>
  </si>
  <si>
    <t xml:space="preserve">Designated Partner 1</t>
  </si>
  <si>
    <t xml:space="preserve">Samartha Raghava Nagabhushanam</t>
  </si>
  <si>
    <t xml:space="preserve">DPIN No.</t>
  </si>
  <si>
    <t xml:space="preserve">Date</t>
  </si>
  <si>
    <t xml:space="preserve">Place</t>
  </si>
  <si>
    <t xml:space="preserve">Designated Partner 2</t>
  </si>
  <si>
    <t xml:space="preserve">Financials Rounded Off by</t>
  </si>
  <si>
    <t xml:space="preserve">Amount caption (derived)</t>
  </si>
  <si>
    <t xml:space="preserve">Current year column heading (derived)</t>
  </si>
  <si>
    <t xml:space="preserve">Previous year column heading (derived)</t>
  </si>
  <si>
    <t xml:space="preserve">PARTNERS' CAPITAL DETAILS (₹, as per Trial Balance)</t>
  </si>
  <si>
    <t xml:space="preserve">Partner</t>
  </si>
  <si>
    <t xml:space="preserve">Capital Account ledger (Tally)</t>
  </si>
  <si>
    <t xml:space="preserve">Contribution 31-Mar-26 (₹)</t>
  </si>
  <si>
    <t xml:space="preserve">Contribution 31-Mar-25 (₹)</t>
  </si>
  <si>
    <t xml:space="preserve">Profit sharing ratio (LLP Agreement)</t>
  </si>
  <si>
    <t xml:space="preserve">Samartha  R .N -Captial Account</t>
  </si>
  <si>
    <t xml:space="preserve">No capital account in Trial Balance</t>
  </si>
  <si>
    <t xml:space="preserve">Total</t>
  </si>
  <si>
    <t xml:space="preserve">Legend</t>
  </si>
  <si>
    <t xml:space="preserve">Yellow cells = information not available in the Trial Balance; to be filled in before finalisation. All other cells are as per the Tally Trial Balances or derived by formula.</t>
  </si>
  <si>
    <t xml:space="preserve">Trial Balance (closing balances as per Tally) - mapping to Financial Statements</t>
  </si>
  <si>
    <t xml:space="preserve">Totals of rows 7 to 75 (insert new ledger rows above row 76)</t>
  </si>
  <si>
    <t xml:space="preserve">2025-26 (₹) - as per Tally</t>
  </si>
  <si>
    <t xml:space="preserve">2024-25 (₹) - as per Tally</t>
  </si>
  <si>
    <t xml:space="preserve">Rounded Off (÷ Master!B31)</t>
  </si>
  <si>
    <t xml:space="preserve">Particulars (Tally ledger)</t>
  </si>
  <si>
    <t xml:space="preserve">Tally Group</t>
  </si>
  <si>
    <t xml:space="preserve">Debit</t>
  </si>
  <si>
    <t xml:space="preserve">Credit</t>
  </si>
  <si>
    <t xml:space="preserve">Amount CY</t>
  </si>
  <si>
    <t xml:space="preserve">Amount PY</t>
  </si>
  <si>
    <t xml:space="preserve">Grouping (key used by Notes)</t>
  </si>
  <si>
    <t xml:space="preserve">Head (Financial Statement caption)</t>
  </si>
  <si>
    <t xml:space="preserve">Capital Account / Partners Capital</t>
  </si>
  <si>
    <t xml:space="preserve">Partners Capital - Samartha R.N</t>
  </si>
  <si>
    <t xml:space="preserve">Partners' capital</t>
  </si>
  <si>
    <t xml:space="preserve">Manasa</t>
  </si>
  <si>
    <t xml:space="preserve">Loans (Liability) / Unsecured Loans</t>
  </si>
  <si>
    <t xml:space="preserve">Loan - Manasa</t>
  </si>
  <si>
    <t xml:space="preserve">Long-term borrowings</t>
  </si>
  <si>
    <t xml:space="preserve">Samartha  Raghava NAgabhushanam-Loan</t>
  </si>
  <si>
    <t xml:space="preserve">Loan - Samartha Raghava Nagabhushanam</t>
  </si>
  <si>
    <t xml:space="preserve">194 J-TDS on Profession</t>
  </si>
  <si>
    <t xml:space="preserve">Current Liabilities / Duties &amp; Taxes</t>
  </si>
  <si>
    <t xml:space="preserve">TDS Payable 194J</t>
  </si>
  <si>
    <t xml:space="preserve">Other current liabilities</t>
  </si>
  <si>
    <t xml:space="preserve">GST Payable</t>
  </si>
  <si>
    <t xml:space="preserve">Input 9 % SGST</t>
  </si>
  <si>
    <t xml:space="preserve">Input SGST</t>
  </si>
  <si>
    <t xml:space="preserve">Other current assets</t>
  </si>
  <si>
    <t xml:space="preserve">Input  CGST 9%</t>
  </si>
  <si>
    <t xml:space="preserve">Input CGST</t>
  </si>
  <si>
    <t xml:space="preserve">Ajay Pandey</t>
  </si>
  <si>
    <t xml:space="preserve">Current Liabilities / Sundry Creditors</t>
  </si>
  <si>
    <t xml:space="preserve">Trade Payables - Others</t>
  </si>
  <si>
    <t xml:space="preserve">Trade payables</t>
  </si>
  <si>
    <t xml:space="preserve">Bhadri Narayan</t>
  </si>
  <si>
    <t xml:space="preserve">Bharti Airtel Limited</t>
  </si>
  <si>
    <t xml:space="preserve">Dhakshayani</t>
  </si>
  <si>
    <t xml:space="preserve">Dhanush</t>
  </si>
  <si>
    <t xml:space="preserve">Face  Book India Online Services  Private Limited</t>
  </si>
  <si>
    <t xml:space="preserve">Google India Private Limited</t>
  </si>
  <si>
    <t xml:space="preserve">J R Computers Inc</t>
  </si>
  <si>
    <t xml:space="preserve">Karnataka Digital Studio</t>
  </si>
  <si>
    <t xml:space="preserve">K Soorya</t>
  </si>
  <si>
    <t xml:space="preserve">Madhavi K</t>
  </si>
  <si>
    <t xml:space="preserve">Manjunath N</t>
  </si>
  <si>
    <t xml:space="preserve">Pixel Digital and Design Studios</t>
  </si>
  <si>
    <t xml:space="preserve">Razorpay Software Pvt. Ltd.</t>
  </si>
  <si>
    <t xml:space="preserve">Sathyanarayana Bhat</t>
  </si>
  <si>
    <t xml:space="preserve">Sireesha</t>
  </si>
  <si>
    <t xml:space="preserve">Sragdhara Bhatt</t>
  </si>
  <si>
    <t xml:space="preserve">Umesh</t>
  </si>
  <si>
    <t xml:space="preserve">Usha Devi</t>
  </si>
  <si>
    <t xml:space="preserve">Venkatesh</t>
  </si>
  <si>
    <t xml:space="preserve">Vinyas Kumar</t>
  </si>
  <si>
    <t xml:space="preserve">B Omkarmurthy</t>
  </si>
  <si>
    <t xml:space="preserve">Medha Sudarshan</t>
  </si>
  <si>
    <t xml:space="preserve">Sudhakar</t>
  </si>
  <si>
    <t xml:space="preserve">Mangala</t>
  </si>
  <si>
    <t xml:space="preserve">Current Liabilities / Sundry Creditors (Dr balance)</t>
  </si>
  <si>
    <t xml:space="preserve">Advance - Mangala</t>
  </si>
  <si>
    <t xml:space="preserve">Short-term loans and advances</t>
  </si>
  <si>
    <t xml:space="preserve">Sriguru P V</t>
  </si>
  <si>
    <t xml:space="preserve">Advance - Sriguru P V</t>
  </si>
  <si>
    <t xml:space="preserve">Subodh Kumar Mishra</t>
  </si>
  <si>
    <t xml:space="preserve">Advance - Subodh Kumar Mishra</t>
  </si>
  <si>
    <t xml:space="preserve">Swami Gangaram</t>
  </si>
  <si>
    <t xml:space="preserve">Advance - Swami Gangaram</t>
  </si>
  <si>
    <t xml:space="preserve">Yuvaraj</t>
  </si>
  <si>
    <t xml:space="preserve">Advance - Yuvaraj</t>
  </si>
  <si>
    <t xml:space="preserve">Cash</t>
  </si>
  <si>
    <t xml:space="preserve">Current Assets / Cash-in-Hand</t>
  </si>
  <si>
    <t xml:space="preserve">Cash in hand</t>
  </si>
  <si>
    <t xml:space="preserve">Cash and cash equivalents</t>
  </si>
  <si>
    <t xml:space="preserve">Kotak Mahindra Bank (Dr balance)</t>
  </si>
  <si>
    <t xml:space="preserve">Current Assets / Bank Accounts</t>
  </si>
  <si>
    <t xml:space="preserve">Bank - Kotak Mahindra Bank</t>
  </si>
  <si>
    <t xml:space="preserve">Kotak Mahindra Bank (Cr balance - book overdraft)</t>
  </si>
  <si>
    <t xml:space="preserve">Book overdraft - Kotak Mahindra Bank</t>
  </si>
  <si>
    <t xml:space="preserve">B2C Sales</t>
  </si>
  <si>
    <t xml:space="preserve">Sales Accounts</t>
  </si>
  <si>
    <t xml:space="preserve">Revenue from operations</t>
  </si>
  <si>
    <t xml:space="preserve">Accomodation and Hotel Expenses</t>
  </si>
  <si>
    <t xml:space="preserve">Indirect Expenses</t>
  </si>
  <si>
    <t xml:space="preserve">Other expenses</t>
  </si>
  <si>
    <t xml:space="preserve">Advertisement Campaining Cost IGST</t>
  </si>
  <si>
    <t xml:space="preserve">Bank Charges</t>
  </si>
  <si>
    <t xml:space="preserve">Branding Expenses</t>
  </si>
  <si>
    <t xml:space="preserve">Conveyance</t>
  </si>
  <si>
    <t xml:space="preserve">Data Infrastructure (GST)</t>
  </si>
  <si>
    <t xml:space="preserve">Design and Development</t>
  </si>
  <si>
    <t xml:space="preserve">Employer Professional Tax</t>
  </si>
  <si>
    <t xml:space="preserve">GST Late File  Fees</t>
  </si>
  <si>
    <t xml:space="preserve">Interest on TDS</t>
  </si>
  <si>
    <t xml:space="preserve">Internship Charges</t>
  </si>
  <si>
    <t xml:space="preserve">Local Travel and Conveyance</t>
  </si>
  <si>
    <t xml:space="preserve">Mobile  and Telepohone Exenses</t>
  </si>
  <si>
    <t xml:space="preserve">Office Expenses</t>
  </si>
  <si>
    <t xml:space="preserve">Payment Gate Way Comm. GST Exmt</t>
  </si>
  <si>
    <t xml:space="preserve">Payment Gate Way Commission</t>
  </si>
  <si>
    <t xml:space="preserve">Pooja Expenses</t>
  </si>
  <si>
    <t xml:space="preserve">Postage and Courier Expenses</t>
  </si>
  <si>
    <t xml:space="preserve">Preincorporation Expenses</t>
  </si>
  <si>
    <t xml:space="preserve">Printing Charges</t>
  </si>
  <si>
    <t xml:space="preserve">Professional Charges</t>
  </si>
  <si>
    <t xml:space="preserve">R O C and Filing  Expenses</t>
  </si>
  <si>
    <t xml:space="preserve">Round Off</t>
  </si>
  <si>
    <t xml:space="preserve">Staff Welfare</t>
  </si>
  <si>
    <t xml:space="preserve">Studio Expenses (GST 0%)</t>
  </si>
  <si>
    <t xml:space="preserve">Subscrptions Expenses</t>
  </si>
  <si>
    <t xml:space="preserve">Translation Expenses</t>
  </si>
  <si>
    <t xml:space="preserve">Web Site Development Expenses</t>
  </si>
  <si>
    <t xml:space="preserve">Profit &amp; Loss A/c (opening balance - accumulated loss brought forward)</t>
  </si>
  <si>
    <t xml:space="preserve">Profit &amp; Loss A/c</t>
  </si>
  <si>
    <t xml:space="preserve">Opening P&amp;L</t>
  </si>
  <si>
    <t xml:space="preserve">Reserves and surplus</t>
  </si>
  <si>
    <t xml:space="preserve">Grand Total as per Tally Trial Balance</t>
  </si>
  <si>
    <t xml:space="preserve">Difference: mapped total less Tally Grand Total (must be nil)</t>
  </si>
  <si>
    <t xml:space="preserve">Difference: Debit less Credit (must be nil)</t>
  </si>
  <si>
    <t xml:space="preserve">PARTICULARS</t>
  </si>
  <si>
    <t xml:space="preserve">NOTE</t>
  </si>
  <si>
    <t xml:space="preserve">Check (outside print area)</t>
  </si>
  <si>
    <t xml:space="preserve">LIABILITIES</t>
  </si>
  <si>
    <t xml:space="preserve">Partners' funds</t>
  </si>
  <si>
    <t xml:space="preserve">(a) Partners' capital</t>
  </si>
  <si>
    <t xml:space="preserve">2.1</t>
  </si>
  <si>
    <t xml:space="preserve">(b) Reserves and surplus</t>
  </si>
  <si>
    <t xml:space="preserve">2.2</t>
  </si>
  <si>
    <t xml:space="preserve">Total Partners' funds</t>
  </si>
  <si>
    <t xml:space="preserve">Non-current liabilities</t>
  </si>
  <si>
    <t xml:space="preserve">(a) Long-term borrowings</t>
  </si>
  <si>
    <t xml:space="preserve">2.3</t>
  </si>
  <si>
    <t xml:space="preserve">Total Non-current liabilities</t>
  </si>
  <si>
    <t xml:space="preserve">Current Liabilities</t>
  </si>
  <si>
    <t xml:space="preserve">(a) Trade payables</t>
  </si>
  <si>
    <t xml:space="preserve">2.4</t>
  </si>
  <si>
    <t xml:space="preserve">(b) Other current liabilities</t>
  </si>
  <si>
    <t xml:space="preserve">2.5</t>
  </si>
  <si>
    <t xml:space="preserve">Total Current Liabilities</t>
  </si>
  <si>
    <t xml:space="preserve">TOTAL LIABILITIES</t>
  </si>
  <si>
    <t xml:space="preserve">ASSETS</t>
  </si>
  <si>
    <t xml:space="preserve">Non-current assets</t>
  </si>
  <si>
    <t xml:space="preserve">(a) Property, Plant &amp; Equipment &amp; Intangible assets</t>
  </si>
  <si>
    <t xml:space="preserve">(i) Property, Plant &amp; Equipment</t>
  </si>
  <si>
    <t xml:space="preserve">Current assets</t>
  </si>
  <si>
    <t xml:space="preserve">(a) Cash and cash equivalents</t>
  </si>
  <si>
    <t xml:space="preserve">2.6</t>
  </si>
  <si>
    <t xml:space="preserve">(b) Short-term loans and advances</t>
  </si>
  <si>
    <t xml:space="preserve">2.7</t>
  </si>
  <si>
    <t xml:space="preserve">(c) Other current assets</t>
  </si>
  <si>
    <t xml:space="preserve">2.8</t>
  </si>
  <si>
    <t xml:space="preserve">SIGNIFICANT ACCOUNTING POLICIES,
NOTES FORMING PART OF THE FINANCIAL STATEMENTS</t>
  </si>
  <si>
    <t xml:space="preserve">1 &amp; 2</t>
  </si>
  <si>
    <t xml:space="preserve">As per our report attached</t>
  </si>
  <si>
    <t xml:space="preserve">For and on behalf of the Partners of</t>
  </si>
  <si>
    <t xml:space="preserve">Designated Partner</t>
  </si>
  <si>
    <t xml:space="preserve">REVENUE</t>
  </si>
  <si>
    <t xml:space="preserve">(a) Revenue from operations</t>
  </si>
  <si>
    <t xml:space="preserve">2.9</t>
  </si>
  <si>
    <t xml:space="preserve">(b) Other income</t>
  </si>
  <si>
    <t xml:space="preserve">Total Income</t>
  </si>
  <si>
    <t xml:space="preserve">EXPENSES</t>
  </si>
  <si>
    <t xml:space="preserve">(A) Other expenses</t>
  </si>
  <si>
    <t xml:space="preserve">2.10</t>
  </si>
  <si>
    <t xml:space="preserve">Total Expenses</t>
  </si>
  <si>
    <t xml:space="preserve">Profit/(Loss) before exceptional &amp; extraordinary items and tax</t>
  </si>
  <si>
    <t xml:space="preserve">Exceptional items</t>
  </si>
  <si>
    <t xml:space="preserve">Profit/(Loss) before extraordinary items and tax</t>
  </si>
  <si>
    <t xml:space="preserve">Extraordinary items</t>
  </si>
  <si>
    <t xml:space="preserve">Profit/(Loss) before tax</t>
  </si>
  <si>
    <t xml:space="preserve">Tax Expenses</t>
  </si>
  <si>
    <t xml:space="preserve">(a) Current Tax</t>
  </si>
  <si>
    <t xml:space="preserve">(b) Deferred Tax Charge/(Credit)</t>
  </si>
  <si>
    <t xml:space="preserve">Total tax expenses</t>
  </si>
  <si>
    <t xml:space="preserve">Profit/(Loss) after tax</t>
  </si>
  <si>
    <t xml:space="preserve">Grouping keys (outside print area)</t>
  </si>
  <si>
    <t xml:space="preserve">2.1             Partners' capital</t>
  </si>
  <si>
    <t xml:space="preserve">(A) Statement Showing Partners' Capital Contribution</t>
  </si>
  <si>
    <t xml:space="preserve">Capital contribution by partners</t>
  </si>
  <si>
    <t xml:space="preserve">(B) Reconciliation Of Partners' Capital At The Beginning And At The End Of The Reporting Period</t>
  </si>
  <si>
    <t xml:space="preserve">Balance at the beginning of the year</t>
  </si>
  <si>
    <t xml:space="preserve">Add: Capital contributed during the year</t>
  </si>
  <si>
    <t xml:space="preserve">Balance at the end of the year</t>
  </si>
  <si>
    <t xml:space="preserve">(C) Terms Of Partnership:</t>
  </si>
  <si>
    <t xml:space="preserve">The rights and obligations of the partners, their capital contribution and the profit sharing ratio are governed by the LLP Agreement. No interest on partners' capital and no remuneration to partners has been charged to the Statement of Profit and Loss for the year (previous year: Nil), as no such ledgers appear in the books of account.</t>
  </si>
  <si>
    <t xml:space="preserve">(D) Details Of Partners And Their Capital Contribution:</t>
  </si>
  <si>
    <t xml:space="preserve">Contribution</t>
  </si>
  <si>
    <t xml:space="preserve">% of total contribution</t>
  </si>
  <si>
    <t xml:space="preserve">Grouping keys (column A is outside the print area)</t>
  </si>
  <si>
    <t xml:space="preserve">Surplus / (deficit) - balance in the statement of profit and loss account</t>
  </si>
  <si>
    <t xml:space="preserve">Opening Balance</t>
  </si>
  <si>
    <t xml:space="preserve">Add: Profit/ (Loss) for the year</t>
  </si>
  <si>
    <t xml:space="preserve">Less: Amount utilised</t>
  </si>
  <si>
    <t xml:space="preserve">Less: Transfer to reserves</t>
  </si>
  <si>
    <t xml:space="preserve">Closing Balance</t>
  </si>
  <si>
    <t xml:space="preserve">Unsecured loans</t>
  </si>
  <si>
    <t xml:space="preserve">From others - Manasa</t>
  </si>
  <si>
    <t xml:space="preserve">Outstanding dues of;</t>
  </si>
  <si>
    <t xml:space="preserve">Trade Payables - MSME</t>
  </si>
  <si>
    <t xml:space="preserve">(a) micro enterprises and small enterprises</t>
  </si>
  <si>
    <t xml:space="preserve">(b) other than micro enterprises and small enterprises</t>
  </si>
  <si>
    <t xml:space="preserve">Statutory dues</t>
  </si>
  <si>
    <t xml:space="preserve">TDS payable (Section 194J)</t>
  </si>
  <si>
    <t xml:space="preserve">GST payable</t>
  </si>
  <si>
    <t xml:space="preserve">Others</t>
  </si>
  <si>
    <t xml:space="preserve">Book overdraft - Kotak Mahindra Bank (credit balance as per books)</t>
  </si>
  <si>
    <t xml:space="preserve">Balances with banks - Kotak Mahindra Bank (current account)</t>
  </si>
  <si>
    <t xml:space="preserve">Advances to suppliers / consultants (debit balances in Sundry Creditors)</t>
  </si>
  <si>
    <t xml:space="preserve">Balances with government authorities</t>
  </si>
  <si>
    <t xml:space="preserve">Input CGST 9%</t>
  </si>
  <si>
    <t xml:space="preserve">Input SGST 9%</t>
  </si>
  <si>
    <t xml:space="preserve">Accommodation and Hotel Expenses</t>
  </si>
  <si>
    <t xml:space="preserve">Advertisement Campaigning Cost</t>
  </si>
  <si>
    <t xml:space="preserve">GST Late Filing Fees</t>
  </si>
  <si>
    <t xml:space="preserve">Mobile and Telephone Expenses</t>
  </si>
  <si>
    <t xml:space="preserve">Payment Gateway Commission (GST Exempt)</t>
  </si>
  <si>
    <t xml:space="preserve">Payment Gateway Commission</t>
  </si>
  <si>
    <t xml:space="preserve">Pre-incorporation Expenses</t>
  </si>
  <si>
    <t xml:space="preserve">ROC and Filing Expenses</t>
  </si>
  <si>
    <t xml:space="preserve">Studio Expenses</t>
  </si>
  <si>
    <t xml:space="preserve">Subscription Expenses</t>
  </si>
  <si>
    <t xml:space="preserve">Website Development Expenses</t>
  </si>
  <si>
    <t xml:space="preserve">2.11  Related Party Disclosures</t>
  </si>
  <si>
    <t xml:space="preserve">a. Designated Partners / Key Management Personnel:</t>
  </si>
  <si>
    <t xml:space="preserve">Sl No</t>
  </si>
  <si>
    <t xml:space="preserve">Name of the Party</t>
  </si>
  <si>
    <t xml:space="preserve">Nature of relationship</t>
  </si>
  <si>
    <t xml:space="preserve">b. Related Party Transactions and Balances:</t>
  </si>
  <si>
    <t xml:space="preserve">Sl.No.</t>
  </si>
  <si>
    <t xml:space="preserve">Nature of transaction</t>
  </si>
  <si>
    <t xml:space="preserve">For the year ended</t>
  </si>
  <si>
    <t xml:space="preserve">Partners' capital contribution (closing balance)</t>
  </si>
  <si>
    <t xml:space="preserve">Unsecured loan from partner (closing balance)</t>
  </si>
  <si>
    <t xml:space="preserve">Unsecured loan from partner - net amount received during the year</t>
  </si>
  <si>
    <t xml:space="preserve">No interest on the loan from the partner and no remuneration to partners has been charged in the books for the year (previous year: Nil). The previous-year figure of net loan received is stated on the basis that no opening balances appear in the Trial Balance for 2024-25.</t>
  </si>
  <si>
    <t xml:space="preserve">2.12 - Previous period figures</t>
  </si>
  <si>
    <t xml:space="preserve">Previous year's figures have been regrouped / reclassified wherever necessary to conform to the current year's presentation.</t>
  </si>
  <si>
    <t xml:space="preserve">ITEMS REQUIRING CLARIFICATION / CONFIRMATION - NOT ASSUMED IN THE FINANCIAL STATEMENTS</t>
  </si>
  <si>
    <t xml:space="preserve">#</t>
  </si>
  <si>
    <t xml:space="preserve">Area</t>
  </si>
  <si>
    <t xml:space="preserve">Observation (as per Trial Balance)</t>
  </si>
  <si>
    <t xml:space="preserve">Information required / treatment adopted</t>
  </si>
  <si>
    <t xml:space="preserve">The FY 2025-26 Trial Balance exported from Tally covers 1-Apr-25 to 23-Mar-26, not the full year to 31-Mar-26.</t>
  </si>
  <si>
    <t xml:space="preserve">Statements are presented as at March 31, 2026 (FY 2025-26) as instructed. Transactions from 24-Mar-26 to 31-Mar-26 (if any) are not included. A TB to 31-Mar-26 should be re-exported and pasted into the TB sheet.</t>
  </si>
  <si>
    <t xml:space="preserve">Entity / partners</t>
  </si>
  <si>
    <t xml:space="preserve">Only one partner capital account appears in the TB (Samartha R .N - Captial Account, Rs 90,000). An LLP must have at least two partners.</t>
  </si>
  <si>
    <t xml:space="preserve">Second designated partner name, DPIN, capital (if any) and profit-sharing ratio are required. Placeholders are in the Master sheet (yellow cells). Note 2.1(D) currently shows 100% contribution by the one partner in the TB.</t>
  </si>
  <si>
    <t xml:space="preserve">Entity details</t>
  </si>
  <si>
    <t xml:space="preserve">LLPIN, PAN, LLP Agreement terms, incorporation date, auditor name/firm/FRN/membership no./UDIN, signing dates and places are not available in the TB.</t>
  </si>
  <si>
    <t xml:space="preserve">Fill the yellow cells in the Master sheet; all headers and signature blocks are linked to them. Note: statutory audit of an LLP is mandatory only if turnover exceeds Rs 40 lakh or contribution exceeds Rs 25 lakh; neither threshold is met per the TB, so confirm whether an auditor block is required.</t>
  </si>
  <si>
    <t xml:space="preserve">Format</t>
  </si>
  <si>
    <t xml:space="preserve">The reference (Checkaro) is a Private Limited Company under Schedule III. The entity here is an LLP.</t>
  </si>
  <si>
    <t xml:space="preserve">Layout, fonts, rounding and note structure follow the reference exactly. Captions have been changed only where the entity type dictates: Share capital -&gt; Partners' capital; Shareholder's funds -&gt; Partners' funds; Board of Directors/Director/DIN -&gt; Partners/Designated Partner/DPIN. Earnings per share and promoter shareholding (not applicable to an LLP) are omitted.</t>
  </si>
  <si>
    <t xml:space="preserve">Bank</t>
  </si>
  <si>
    <t xml:space="preserve">Kotak Mahindra Bank ledger has a CREDIT balance of Rs 2,593.05 at 23-Mar-26 (Dr 12,768.48 at 31-Mar-25).</t>
  </si>
  <si>
    <t xml:space="preserve">A credit bank balance cannot be shown as cash. Presented as "Book overdraft - Kotak Mahindra Bank" under Other current liabilities (Note 2.5). Confirm against bank statement / BRS whether this is an actual overdraft or unrecorded receipts / timing.</t>
  </si>
  <si>
    <t xml:space="preserve">Sundry creditors - debit balances</t>
  </si>
  <si>
    <t xml:space="preserve">Five Sundry Creditor ledgers have DEBIT balances totalling Rs 1,73,500 (Mangala 15,000; Sriguru P V 20,000; Subodh Kumar Mishra 1,21,000; Swami Gangaram 2,500; Yuvaraj 15,000).</t>
  </si>
  <si>
    <t xml:space="preserve">Presented as advances to suppliers/consultants under Short-term loans and advances (Note 2.7), not netted against payables. Confirm they are genuine advances and not unrecorded bills or payments posted to wrong ledgers.</t>
  </si>
  <si>
    <t xml:space="preserve">Loans (Liability): Samartha Raghava Nagabhushanam Rs 24,80,680 (PY 7,80,680) and Manasa Rs 1,70,180 (PY Nil). No repayment terms, interest or tenure in the TB.</t>
  </si>
  <si>
    <t xml:space="preserve">Classified as Long-term borrowings (Note 2.3), following the reference mapping of Directors Loan -&gt; Long-term borrowings. Confirm tenure (if repayable within 12 months they belong under Short-term borrowings), interest (none charged in TB) and the relationship of Manasa (related party?).</t>
  </si>
  <si>
    <t xml:space="preserve">Related parties</t>
  </si>
  <si>
    <t xml:space="preserve">Partner Samartha Raghava Nagabhushanam: capital Rs 90,000; loan closing Rs 24,80,680; net loan received during FY 25-26 Rs 17,00,000 (closing less PY closing). Many creditors are individuals grouped as "Consultants".</t>
  </si>
  <si>
    <t xml:space="preserve">Only the partner is disclosed as related party (Note 2.11). Gross loan receipts/repayments are not determinable from a TB (only net movement). Confirm whether any consultant/creditor (e.g. Madhavi K Rs 90,000, Sathyanarayana Bhat Rs 64,590) or lender Manasa is a relative of a partner.</t>
  </si>
  <si>
    <t xml:space="preserve">Trade payables - MSME</t>
  </si>
  <si>
    <t xml:space="preserve">Sundry Creditors (credit balances) Rs 5,48,320.48 (PY 2,28,000). MSME status of suppliers is not in the TB.</t>
  </si>
  <si>
    <t xml:space="preserve">Entire amount shown under "other than micro and small enterprises" pending MSME confirmation (Note 2.4). Schedule III ageing schedule is not prepared: due-date information is not in a TB (and Schedule III does not apply to an LLP).</t>
  </si>
  <si>
    <t xml:space="preserve">GST</t>
  </si>
  <si>
    <t xml:space="preserve">GST Payable Rs 7,505.41 (credit) and Input CGST Rs 2,820.94 + Input SGST Rs 2,820.94 (debit) exist as separate ledgers.</t>
  </si>
  <si>
    <t xml:space="preserve">Presented gross: GST payable under statutory dues (Note 2.5) and input credits under Other current assets (Note 2.8). Confirm with GSTR-3B / electronic credit ledger whether they should be set off and shown net.</t>
  </si>
  <si>
    <t xml:space="preserve">Expense classification</t>
  </si>
  <si>
    <t xml:space="preserve">All expenses are grouped by Tally under "Indirect Expenses". Pooja Expenses Rs 9,59,127.50 and Professional Charges Rs 10,08,252 together exceed revenue of Rs 10,59,363.54. Staff Welfare Rs 7,681 / Internship Charges Rs 12,000 are employee-related; Bank Charges Rs 880.63 could be finance cost.</t>
  </si>
  <si>
    <t xml:space="preserve">All expenses are presented under a single "Other expenses" note (2.10) exactly as grouped in Tally, as in the reference. Confirm whether Pooja Expenses are direct cost of services and whether employee-benefit / finance-cost lines should be shown separately.</t>
  </si>
  <si>
    <t xml:space="preserve">Pre-incorporation expenses</t>
  </si>
  <si>
    <t xml:space="preserve">Pre-incorporation Expenses Rs 36,000 in FY 25-26 in addition to Rs 4,79,320 in FY 24-25.</t>
  </si>
  <si>
    <t xml:space="preserve">Charged to P&amp;L as per TB. Confirm the nature of the FY 25-26 amount (second year after incorporation) and whether any amount should be treated differently.</t>
  </si>
  <si>
    <t xml:space="preserve">Statutory interest / fees</t>
  </si>
  <si>
    <t xml:space="preserve">Interest on TDS Rs 2,164 (PY 780) and GST Late Filing Fees Rs 20 are charged to P&amp;L.</t>
  </si>
  <si>
    <t xml:space="preserve">Presented as expenses per TB. These are typically disallowed for income-tax; no tax computation has been prepared (the reference tax working sheets were hidden, company-specific and broken with reference errors).</t>
  </si>
  <si>
    <t xml:space="preserve">Provisions not in TB</t>
  </si>
  <si>
    <t xml:space="preserve">No audit fee provision, no depreciation/fixed assets, no income-tax provision, no interest on partner loan/capital, no partner remuneration appear in the TB.</t>
  </si>
  <si>
    <t xml:space="preserve">Nothing has been added. Current tax is Nil (loss year). If an audit fee or any year-end provision is to be booked, it must first be passed in Tally and the TB re-exported.</t>
  </si>
  <si>
    <t xml:space="preserve">Going concern / net worth</t>
  </si>
  <si>
    <t xml:space="preserve">Partners' funds are negative: Rs (30,31,142.86) at 23-Mar-26 (PY Rs (10,30,911.52)). Loss for the year Rs 20,00,231.34 on revenue Rs 10,59,363.54.</t>
  </si>
  <si>
    <t xml:space="preserve">Reported as per TB. Partners should confirm continued financial support (loans of Rs 26.5 lakh) for a going-concern statement in the accounting policies (Note 1), which is not part of the reference workbook and has not been prepared.</t>
  </si>
  <si>
    <t xml:space="preserve">Rounding</t>
  </si>
  <si>
    <t xml:space="preserve">Reference presents amounts in Rs '00 (Master!B31 = 100) with display rounding, without ROUND() in formulas (same as reference).</t>
  </si>
  <si>
    <t xml:space="preserve">Because underlying values carry paise, in Rs '00 the displayed components of TOTAL LIABILITIES (-30,311 + 26,509 + 5,802 = 2,000) differ by 1 from the displayed total (1,999); the underlying figures balance exactly. Set Master!B31 to 1 to present in full rupees, which removes this display difference.</t>
  </si>
  <si>
    <t xml:space="preserve">Cash in hand Rs 20,754.20 at 23-Mar-26 (PY Nil).</t>
  </si>
  <si>
    <t xml:space="preserve">Reported as per TB. Confirm physical cash count / cash book at year end.</t>
  </si>
  <si>
    <t xml:space="preserve">Ledger names</t>
  </si>
  <si>
    <t xml:space="preserve">Several Tally ledger names contain spelling errors (e.g. "Telepohone Exenses", "Campaining", "Subscrptions", "Accomodation", "Captial").</t>
  </si>
  <si>
    <t xml:space="preserve">Exact Tally names are retained in the TB sheet (column A and grouping keys). Only the presentation captions in Note 2.10 have corrected spelling; no amounts are affected.</t>
  </si>
  <si>
    <t xml:space="preserve">Previous year opening balances</t>
  </si>
  <si>
    <t xml:space="preserve">The FY 24-25 TB has no brought-forward Profit &amp; Loss balance and includes Pre-incorporation Expenses, indicating FY 24-25 was the first year.</t>
  </si>
  <si>
    <t xml:space="preserve">PY opening capital (Note 2.1B) and PY opening reserves (Note 2.2) are therefore Nil and PY 'contributed / received during the year' equals the PY closing balance. Confirm the LLP's date of incorporation.</t>
  </si>
  <si>
    <t xml:space="preserve">Reference sheets not carried</t>
  </si>
  <si>
    <t xml:space="preserve">Reference workbook contains hidden company income-tax working sheets (IT Depn, IT Comp, DTA, MAT, ARI) and a hidden trade-payables ageing sheet, all with reference errors and specific to a company.</t>
  </si>
  <si>
    <t xml:space="preserve">Not reproduced (MAT, EPS, Schedule III ratios and ageing do not apply to an LLP; deferred tax not computed). Master and TB sheets are kept visible here so the mapping can be reviewed; hide them for printing if desired.</t>
  </si>
</sst>
</file>

<file path=xl/styles.xml><?xml version="1.0" encoding="utf-8"?>
<styleSheet xmlns="http://schemas.openxmlformats.org/spreadsheetml/2006/main">
  <numFmts count="8">
    <numFmt numFmtId="164" formatCode="General"/>
    <numFmt numFmtId="165" formatCode="dd\-mm\-yyyy"/>
    <numFmt numFmtId="166" formatCode="_ * #,##0.00_ ;_ * \-#,##0.00_ ;_ * \-??_ ;_ @_ "/>
    <numFmt numFmtId="167" formatCode="_ * #,##0_ ;_ * \-#,##0_ ;_ * \-??_ ;_ @_ "/>
    <numFmt numFmtId="168" formatCode="@"/>
    <numFmt numFmtId="169" formatCode="_(* #,##0_);_(* \(#,##0\);_(* \-_);_(@_)"/>
    <numFmt numFmtId="170" formatCode="0%"/>
    <numFmt numFmtId="171" formatCode="General"/>
  </numFmts>
  <fonts count="14">
    <font>
      <sz val="11"/>
      <color theme="1"/>
      <name val="Calibri"/>
      <family val="2"/>
      <charset val="1"/>
    </font>
    <font>
      <sz val="10"/>
      <name val="Arial"/>
      <family val="0"/>
    </font>
    <font>
      <sz val="10"/>
      <name val="Arial"/>
      <family val="0"/>
    </font>
    <font>
      <sz val="10"/>
      <name val="Arial"/>
      <family val="0"/>
    </font>
    <font>
      <b val="true"/>
      <sz val="11"/>
      <name val="Segoe UI Semilight"/>
      <family val="0"/>
      <charset val="1"/>
    </font>
    <font>
      <sz val="11"/>
      <name val="Segoe UI Semilight"/>
      <family val="0"/>
      <charset val="1"/>
    </font>
    <font>
      <i val="true"/>
      <sz val="11"/>
      <name val="Segoe UI Semilight"/>
      <family val="0"/>
      <charset val="1"/>
    </font>
    <font>
      <b val="true"/>
      <sz val="10"/>
      <name val="Segoe UI Semilight"/>
      <family val="0"/>
      <charset val="1"/>
    </font>
    <font>
      <i val="true"/>
      <sz val="9"/>
      <color rgb="FF808080"/>
      <name val="Segoe UI Semilight"/>
      <family val="0"/>
      <charset val="1"/>
    </font>
    <font>
      <b val="true"/>
      <sz val="10"/>
      <color rgb="FFFFFFFF"/>
      <name val="Segoe UI Semilight"/>
      <family val="0"/>
      <charset val="1"/>
    </font>
    <font>
      <sz val="10"/>
      <name val="Segoe UI Semilight"/>
      <family val="0"/>
      <charset val="1"/>
    </font>
    <font>
      <b val="true"/>
      <sz val="9"/>
      <color rgb="FF808080"/>
      <name val="Segoe UI Semilight"/>
      <family val="0"/>
      <charset val="1"/>
    </font>
    <font>
      <sz val="9"/>
      <color rgb="FF808080"/>
      <name val="Segoe UI Semilight"/>
      <family val="0"/>
      <charset val="1"/>
    </font>
    <font>
      <b val="true"/>
      <sz val="11"/>
      <color rgb="FFFFFFFF"/>
      <name val="Segoe UI Semilight"/>
      <family val="0"/>
      <charset val="1"/>
    </font>
  </fonts>
  <fills count="4">
    <fill>
      <patternFill patternType="none"/>
    </fill>
    <fill>
      <patternFill patternType="gray125"/>
    </fill>
    <fill>
      <patternFill patternType="solid">
        <fgColor rgb="FFFFFF00"/>
        <bgColor rgb="FFFFFF00"/>
      </patternFill>
    </fill>
    <fill>
      <patternFill patternType="solid">
        <fgColor rgb="FF00B0F0"/>
        <bgColor rgb="FF33CCCC"/>
      </patternFill>
    </fill>
  </fills>
  <borders count="12">
    <border diagonalUp="false" diagonalDown="false">
      <left/>
      <right/>
      <top/>
      <bottom/>
      <diagonal/>
    </border>
    <border diagonalUp="false" diagonalDown="false">
      <left style="thin"/>
      <right style="thin"/>
      <top style="thin"/>
      <bottom style="thin"/>
      <diagonal/>
    </border>
    <border diagonalUp="false" diagonalDown="false">
      <left/>
      <right/>
      <top/>
      <bottom style="thin"/>
      <diagonal/>
    </border>
    <border diagonalUp="false" diagonalDown="false">
      <left/>
      <right/>
      <top style="medium"/>
      <bottom style="medium"/>
      <diagonal/>
    </border>
    <border diagonalUp="false" diagonalDown="false">
      <left/>
      <right/>
      <top style="medium"/>
      <bottom/>
      <diagonal/>
    </border>
    <border diagonalUp="false" diagonalDown="false">
      <left/>
      <right/>
      <top style="thin"/>
      <bottom style="thin"/>
      <diagonal/>
    </border>
    <border diagonalUp="false" diagonalDown="false">
      <left/>
      <right/>
      <top style="thin"/>
      <bottom style="medium"/>
      <diagonal/>
    </border>
    <border diagonalUp="false" diagonalDown="false">
      <left/>
      <right/>
      <top style="medium"/>
      <bottom style="thin"/>
      <diagonal/>
    </border>
    <border diagonalUp="false" diagonalDown="false">
      <left/>
      <right/>
      <top/>
      <bottom style="medium"/>
      <diagonal/>
    </border>
    <border diagonalUp="false" diagonalDown="false">
      <left style="thin"/>
      <right/>
      <top style="thin"/>
      <bottom style="thin"/>
      <diagonal/>
    </border>
    <border diagonalUp="false" diagonalDown="false">
      <left/>
      <right style="thin"/>
      <top style="thin"/>
      <bottom style="thin"/>
      <diagonal/>
    </border>
    <border diagonalUp="false" diagonalDown="false">
      <left/>
      <right/>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right" vertical="bottom" textRotation="0" wrapText="false" indent="0" shrinkToFit="false"/>
      <protection locked="true" hidden="false"/>
    </xf>
    <xf numFmtId="164" fontId="5" fillId="0" borderId="0" xfId="0" applyFont="true" applyBorder="false" applyAlignment="true" applyProtection="false">
      <alignment horizontal="left" vertical="bottom" textRotation="0" wrapText="false" indent="0" shrinkToFit="false"/>
      <protection locked="true" hidden="false"/>
    </xf>
    <xf numFmtId="164" fontId="4" fillId="0" borderId="0" xfId="0" applyFont="true" applyBorder="false" applyAlignment="true" applyProtection="false">
      <alignment horizontal="right" vertical="top" textRotation="0" wrapText="false" indent="0" shrinkToFit="false"/>
      <protection locked="true" hidden="false"/>
    </xf>
    <xf numFmtId="164" fontId="5" fillId="0" borderId="0" xfId="0" applyFont="true" applyBorder="false" applyAlignment="true" applyProtection="false">
      <alignment horizontal="left" vertical="bottom" textRotation="0" wrapText="true" indent="0" shrinkToFit="false"/>
      <protection locked="true" hidden="false"/>
    </xf>
    <xf numFmtId="164" fontId="5" fillId="2" borderId="0" xfId="0" applyFont="true" applyBorder="false" applyAlignment="true" applyProtection="false">
      <alignment horizontal="left" vertical="bottom" textRotation="0" wrapText="false" indent="0" shrinkToFit="false"/>
      <protection locked="true" hidden="false"/>
    </xf>
    <xf numFmtId="165" fontId="5" fillId="0" borderId="0" xfId="0" applyFont="true" applyBorder="false" applyAlignment="true" applyProtection="false">
      <alignment horizontal="left" vertical="bottom" textRotation="0" wrapText="false" indent="0" shrinkToFit="false"/>
      <protection locked="true" hidden="false"/>
    </xf>
    <xf numFmtId="164" fontId="4" fillId="0" borderId="0" xfId="0" applyFont="true" applyBorder="false" applyAlignment="true" applyProtection="false">
      <alignment horizontal="left" vertical="bottom" textRotation="0" wrapText="false" indent="0" shrinkToFit="false"/>
      <protection locked="true" hidden="false"/>
    </xf>
    <xf numFmtId="164" fontId="4" fillId="0" borderId="1" xfId="0" applyFont="true" applyBorder="tru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bottom"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6" fontId="5" fillId="0" borderId="1" xfId="0" applyFont="true" applyBorder="true" applyAlignment="fals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6" fontId="4" fillId="0"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left" vertical="bottom"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4" fontId="4" fillId="0" borderId="2" xfId="0" applyFont="true" applyBorder="true" applyAlignment="true" applyProtection="false">
      <alignment horizontal="center" vertical="bottom" textRotation="0" wrapText="false" indent="0" shrinkToFit="false"/>
      <protection locked="true" hidden="false"/>
    </xf>
    <xf numFmtId="164" fontId="4" fillId="2" borderId="2" xfId="0" applyFont="true" applyBorder="true" applyAlignment="true" applyProtection="false">
      <alignment horizontal="center" vertical="bottom" textRotation="0" wrapText="fals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6" fontId="10" fillId="0" borderId="1" xfId="0" applyFont="true" applyBorder="tru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4" fillId="0" borderId="3" xfId="0" applyFont="true" applyBorder="true" applyAlignment="true" applyProtection="false">
      <alignment horizontal="center" vertical="center" textRotation="0" wrapText="false" indent="0" shrinkToFit="false"/>
      <protection locked="true" hidden="false"/>
    </xf>
    <xf numFmtId="164" fontId="4" fillId="0" borderId="3" xfId="0" applyFont="true" applyBorder="true" applyAlignment="true" applyProtection="false">
      <alignment horizontal="right" vertical="center"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8" fontId="4" fillId="0" borderId="4" xfId="0" applyFont="true" applyBorder="true" applyAlignment="true" applyProtection="false">
      <alignment horizontal="left" vertical="bottom" textRotation="0" wrapText="true" indent="0" shrinkToFit="false"/>
      <protection locked="true" hidden="false"/>
    </xf>
    <xf numFmtId="164" fontId="0" fillId="0" borderId="4" xfId="0" applyFont="false" applyBorder="true" applyAlignment="false" applyProtection="false">
      <alignment horizontal="general" vertical="bottom" textRotation="0" wrapText="false" indent="0" shrinkToFit="false"/>
      <protection locked="true" hidden="false"/>
    </xf>
    <xf numFmtId="169" fontId="4" fillId="0" borderId="4"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8" fontId="4" fillId="0" borderId="0" xfId="0" applyFont="true" applyBorder="false" applyAlignment="true" applyProtection="false">
      <alignment horizontal="left" vertical="bottom" textRotation="0" wrapText="true" indent="0" shrinkToFit="false"/>
      <protection locked="true" hidden="false"/>
    </xf>
    <xf numFmtId="169" fontId="4" fillId="0" borderId="0" xfId="0" applyFont="true" applyBorder="false" applyAlignment="false" applyProtection="false">
      <alignment horizontal="general" vertical="bottom" textRotation="0" wrapText="false" indent="0" shrinkToFit="false"/>
      <protection locked="true" hidden="false"/>
    </xf>
    <xf numFmtId="168" fontId="5" fillId="0" borderId="0" xfId="0" applyFont="true" applyBorder="false" applyAlignment="true" applyProtection="false">
      <alignment horizontal="left" vertical="bottom" textRotation="0" wrapText="true" indent="1" shrinkToFit="false"/>
      <protection locked="true" hidden="false"/>
    </xf>
    <xf numFmtId="168" fontId="5" fillId="0" borderId="0" xfId="0" applyFont="true" applyBorder="false" applyAlignment="true" applyProtection="false">
      <alignment horizontal="center" vertical="bottom" textRotation="0" wrapText="false" indent="0" shrinkToFit="false"/>
      <protection locked="true" hidden="false"/>
    </xf>
    <xf numFmtId="169" fontId="5" fillId="0" borderId="0" xfId="0" applyFont="true" applyBorder="false" applyAlignment="false" applyProtection="false">
      <alignment horizontal="general" vertical="bottom" textRotation="0" wrapText="false" indent="0" shrinkToFit="false"/>
      <protection locked="true" hidden="false"/>
    </xf>
    <xf numFmtId="168" fontId="5" fillId="0" borderId="0" xfId="0" applyFont="true" applyBorder="false" applyAlignment="true" applyProtection="false">
      <alignment horizontal="left" vertical="bottom" textRotation="0" wrapText="true" indent="2" shrinkToFit="false"/>
      <protection locked="true" hidden="false"/>
    </xf>
    <xf numFmtId="169" fontId="4" fillId="0" borderId="5" xfId="0" applyFont="true" applyBorder="true" applyAlignment="false" applyProtection="false">
      <alignment horizontal="general" vertical="bottom" textRotation="0" wrapText="false" indent="0" shrinkToFit="false"/>
      <protection locked="true" hidden="false"/>
    </xf>
    <xf numFmtId="169" fontId="5" fillId="0" borderId="2" xfId="0" applyFont="true" applyBorder="true" applyAlignment="false" applyProtection="false">
      <alignment horizontal="general" vertical="bottom" textRotation="0" wrapText="false" indent="0" shrinkToFit="false"/>
      <protection locked="true" hidden="false"/>
    </xf>
    <xf numFmtId="169" fontId="4" fillId="0" borderId="6" xfId="0" applyFont="true" applyBorder="true" applyAlignment="false" applyProtection="false">
      <alignment horizontal="general" vertical="bottom" textRotation="0" wrapText="false" indent="0" shrinkToFit="false"/>
      <protection locked="true" hidden="false"/>
    </xf>
    <xf numFmtId="168" fontId="4" fillId="0" borderId="3" xfId="0" applyFont="true" applyBorder="true" applyAlignment="true" applyProtection="false">
      <alignment horizontal="left" vertical="bottom" textRotation="0" wrapText="tru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9" fontId="4" fillId="0" borderId="3" xfId="0" applyFont="true" applyBorder="true" applyAlignment="true" applyProtection="false">
      <alignment horizontal="general" vertical="center" textRotation="0" wrapText="false" indent="0" shrinkToFit="false"/>
      <protection locked="true" hidden="false"/>
    </xf>
    <xf numFmtId="169" fontId="4" fillId="0" borderId="3" xfId="0" applyFont="true" applyBorder="true" applyAlignment="false" applyProtection="false">
      <alignment horizontal="general" vertical="bottom" textRotation="0" wrapText="false" indent="0" shrinkToFit="false"/>
      <protection locked="true" hidden="false"/>
    </xf>
    <xf numFmtId="168" fontId="5"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left" vertical="bottom" textRotation="0" wrapText="false" indent="8" shrinkToFit="false"/>
      <protection locked="true" hidden="false"/>
    </xf>
    <xf numFmtId="164" fontId="4" fillId="0" borderId="0" xfId="0" applyFont="true" applyBorder="false" applyAlignment="true" applyProtection="false">
      <alignment horizontal="left" vertical="bottom" textRotation="0" wrapText="false" indent="8"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center" textRotation="0" wrapText="true" indent="0" shrinkToFit="false"/>
      <protection locked="true" hidden="false"/>
    </xf>
    <xf numFmtId="164" fontId="4" fillId="0" borderId="0" xfId="0" applyFont="true" applyBorder="false" applyAlignment="true" applyProtection="false">
      <alignment horizontal="left" vertical="top" textRotation="0" wrapText="false" indent="0" shrinkToFit="false"/>
      <protection locked="true" hidden="false"/>
    </xf>
    <xf numFmtId="164" fontId="6" fillId="0" borderId="0" xfId="0" applyFont="true" applyBorder="false" applyAlignment="true" applyProtection="false">
      <alignment horizontal="left"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8" fontId="4" fillId="0" borderId="0" xfId="0" applyFont="true" applyBorder="false" applyAlignment="true" applyProtection="false">
      <alignment horizontal="left" vertical="bottom" textRotation="0" wrapText="true" indent="2" shrinkToFit="false"/>
      <protection locked="true" hidden="false"/>
    </xf>
    <xf numFmtId="168" fontId="5" fillId="0" borderId="0" xfId="0" applyFont="true" applyBorder="false" applyAlignment="true" applyProtection="false">
      <alignment horizontal="left" vertical="bottom" textRotation="0" wrapText="true" indent="0" shrinkToFit="false"/>
      <protection locked="true" hidden="false"/>
    </xf>
    <xf numFmtId="169" fontId="5" fillId="0" borderId="5"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left" vertical="bottom" textRotation="0" wrapText="false" indent="3" shrinkToFit="false"/>
      <protection locked="true" hidden="false"/>
    </xf>
    <xf numFmtId="164" fontId="4" fillId="0" borderId="0" xfId="0" applyFont="true" applyBorder="false" applyAlignment="true" applyProtection="false">
      <alignment horizontal="left" vertical="bottom" textRotation="0" wrapText="false" indent="3" shrinkToFit="false"/>
      <protection locked="true" hidden="false"/>
    </xf>
    <xf numFmtId="164" fontId="5" fillId="0" borderId="0" xfId="0" applyFont="true" applyBorder="false" applyAlignment="true" applyProtection="false">
      <alignment horizontal="right" vertical="bottom" textRotation="0" wrapText="false" indent="0" shrinkToFit="false"/>
      <protection locked="true" hidden="false"/>
    </xf>
    <xf numFmtId="164" fontId="4" fillId="0" borderId="0" xfId="0" applyFont="true" applyBorder="false" applyAlignment="true" applyProtection="false">
      <alignment horizontal="left" vertical="bottom" textRotation="0" wrapText="false" indent="1" shrinkToFit="false"/>
      <protection locked="true" hidden="false"/>
    </xf>
    <xf numFmtId="164" fontId="10" fillId="0" borderId="0" xfId="0" applyFont="true" applyBorder="false" applyAlignment="true" applyProtection="false">
      <alignment horizontal="left" vertical="bottom" textRotation="0" wrapText="false" indent="1" shrinkToFit="false"/>
      <protection locked="true" hidden="false"/>
    </xf>
    <xf numFmtId="164" fontId="7" fillId="0" borderId="0" xfId="0" applyFont="true" applyBorder="false" applyAlignment="true" applyProtection="false">
      <alignment horizontal="left" vertical="bottom" textRotation="0" wrapText="false" indent="1" shrinkToFit="false"/>
      <protection locked="true" hidden="false"/>
    </xf>
    <xf numFmtId="164" fontId="5" fillId="0" borderId="5"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4" fillId="0" borderId="7" xfId="0" applyFont="true" applyBorder="true" applyAlignment="true" applyProtection="false">
      <alignment horizontal="center" vertical="center" textRotation="0" wrapText="false" indent="0" shrinkToFit="false"/>
      <protection locked="true" hidden="false"/>
    </xf>
    <xf numFmtId="164" fontId="4" fillId="0" borderId="7" xfId="0" applyFont="true" applyBorder="true" applyAlignment="true" applyProtection="false">
      <alignment horizontal="right" vertical="center" textRotation="0" wrapText="false" indent="0" shrinkToFit="false"/>
      <protection locked="true" hidden="false"/>
    </xf>
    <xf numFmtId="164" fontId="5" fillId="0" borderId="8" xfId="0" applyFont="true" applyBorder="true" applyAlignment="false" applyProtection="false">
      <alignment horizontal="general" vertical="bottom" textRotation="0" wrapText="false" indent="0" shrinkToFit="false"/>
      <protection locked="true" hidden="false"/>
    </xf>
    <xf numFmtId="164" fontId="4" fillId="0" borderId="8" xfId="0" applyFont="true" applyBorder="true" applyAlignment="true" applyProtection="false">
      <alignment horizontal="right" vertical="bottom" textRotation="0" wrapText="false" indent="0" shrinkToFit="false"/>
      <protection locked="true" hidden="false"/>
    </xf>
    <xf numFmtId="164" fontId="4" fillId="0" borderId="5" xfId="0" applyFont="true" applyBorder="true" applyAlignment="false" applyProtection="false">
      <alignment horizontal="general" vertical="bottom" textRotation="0" wrapText="false" indent="0" shrinkToFit="false"/>
      <protection locked="true" hidden="false"/>
    </xf>
    <xf numFmtId="170" fontId="5" fillId="0" borderId="0" xfId="0" applyFont="true" applyBorder="false" applyAlignment="true" applyProtection="false">
      <alignment horizontal="right" vertical="bottom" textRotation="0" wrapText="false" indent="0" shrinkToFit="false"/>
      <protection locked="true" hidden="false"/>
    </xf>
    <xf numFmtId="164" fontId="4" fillId="0" borderId="3" xfId="0" applyFont="true" applyBorder="true" applyAlignment="true" applyProtection="false">
      <alignment horizontal="center" vertical="center" textRotation="0" wrapText="true" indent="0" shrinkToFit="false"/>
      <protection locked="true" hidden="false"/>
    </xf>
    <xf numFmtId="168" fontId="4" fillId="0" borderId="9" xfId="0" applyFont="true" applyBorder="true" applyAlignment="true" applyProtection="false">
      <alignment horizontal="center" vertical="bottom" textRotation="0" wrapText="false" indent="0" shrinkToFit="false"/>
      <protection locked="true" hidden="false"/>
    </xf>
    <xf numFmtId="164" fontId="4" fillId="0" borderId="10" xfId="0" applyFont="true" applyBorder="true" applyAlignment="true" applyProtection="false">
      <alignment horizontal="left" vertical="center" textRotation="0" wrapText="false" indent="0" shrinkToFit="false"/>
      <protection locked="true" hidden="false"/>
    </xf>
    <xf numFmtId="164" fontId="5" fillId="0" borderId="11" xfId="0" applyFont="true" applyBorder="true" applyAlignment="false" applyProtection="false">
      <alignment horizontal="general" vertical="bottom" textRotation="0" wrapText="false" indent="0" shrinkToFit="false"/>
      <protection locked="true" hidden="false"/>
    </xf>
    <xf numFmtId="164" fontId="4" fillId="0" borderId="1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left" vertical="bottom" textRotation="0" wrapText="true" indent="1" shrinkToFit="false"/>
      <protection locked="true" hidden="false"/>
    </xf>
    <xf numFmtId="164" fontId="5" fillId="0" borderId="2" xfId="0" applyFont="true" applyBorder="tru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left" vertical="top" textRotation="0" wrapText="false" indent="0" shrinkToFit="false"/>
      <protection locked="true" hidden="false"/>
    </xf>
    <xf numFmtId="164" fontId="4" fillId="0" borderId="5" xfId="0" applyFont="true" applyBorder="true" applyAlignment="true" applyProtection="false">
      <alignment horizontal="center" vertical="bottom" textRotation="0" wrapText="false" indent="0" shrinkToFit="false"/>
      <protection locked="true" hidden="false"/>
    </xf>
    <xf numFmtId="164" fontId="4" fillId="0" borderId="5" xfId="0" applyFont="true" applyBorder="true" applyAlignment="true" applyProtection="false">
      <alignment horizontal="left" vertical="bottom" textRotation="0" wrapText="false" indent="0" shrinkToFit="false"/>
      <protection locked="true" hidden="false"/>
    </xf>
    <xf numFmtId="164" fontId="5" fillId="0" borderId="0" xfId="0" applyFont="true" applyBorder="false" applyAlignment="true" applyProtection="false">
      <alignment horizontal="center" vertical="center" textRotation="0" wrapText="false" indent="0" shrinkToFit="false"/>
      <protection locked="true" hidden="false"/>
    </xf>
    <xf numFmtId="171" fontId="5" fillId="0" borderId="2" xfId="0" applyFont="true" applyBorder="true" applyAlignment="true" applyProtection="false">
      <alignment horizontal="center" vertical="center" textRotation="0" wrapText="false" indent="0" shrinkToFit="false"/>
      <protection locked="true" hidden="false"/>
    </xf>
    <xf numFmtId="164" fontId="5" fillId="0" borderId="2" xfId="0" applyFont="true" applyBorder="true" applyAlignment="true" applyProtection="false">
      <alignment horizontal="left" vertical="bottom" textRotation="0" wrapText="false" indent="0" shrinkToFit="false"/>
      <protection locked="true" hidden="false"/>
    </xf>
    <xf numFmtId="164" fontId="7" fillId="0" borderId="0" xfId="0" applyFont="true" applyBorder="false" applyAlignment="true" applyProtection="false">
      <alignment horizontal="general" vertical="center" textRotation="0" wrapText="false" indent="0" shrinkToFit="false"/>
      <protection locked="true" hidden="false"/>
    </xf>
    <xf numFmtId="164" fontId="7" fillId="0" borderId="0" xfId="0" applyFont="true" applyBorder="false" applyAlignment="true" applyProtection="false">
      <alignment horizontal="right" vertical="bottom" textRotation="0" wrapText="false" indent="0" shrinkToFit="false"/>
      <protection locked="true" hidden="false"/>
    </xf>
    <xf numFmtId="164" fontId="7" fillId="0" borderId="11" xfId="0" applyFont="true" applyBorder="true" applyAlignment="true" applyProtection="false">
      <alignment horizontal="center" vertical="center" textRotation="0" wrapText="false" indent="0" shrinkToFit="false"/>
      <protection locked="true" hidden="false"/>
    </xf>
    <xf numFmtId="164" fontId="7" fillId="0" borderId="11" xfId="0" applyFont="true" applyBorder="true" applyAlignment="true" applyProtection="false">
      <alignment horizontal="right" vertical="top" textRotation="0" wrapText="true" indent="0" shrinkToFit="false"/>
      <protection locked="true" hidden="false"/>
    </xf>
    <xf numFmtId="164" fontId="7" fillId="0" borderId="5" xfId="0" applyFont="true" applyBorder="true" applyAlignment="true" applyProtection="false">
      <alignment horizontal="right" vertical="top" textRotation="0" wrapText="false" indent="0" shrinkToFit="false"/>
      <protection locked="true" hidden="false"/>
    </xf>
    <xf numFmtId="164" fontId="10" fillId="0" borderId="0" xfId="0" applyFont="true" applyBorder="false" applyAlignment="true" applyProtection="false">
      <alignment horizontal="center"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7" fontId="10" fillId="0" borderId="0" xfId="0" applyFont="true" applyBorder="false" applyAlignment="true" applyProtection="false">
      <alignment horizontal="center" vertical="center" textRotation="0" wrapText="fals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10" fillId="0" borderId="2" xfId="0" applyFont="true" applyBorder="true" applyAlignment="false" applyProtection="false">
      <alignment horizontal="general" vertical="bottom" textRotation="0" wrapText="false" indent="0" shrinkToFit="false"/>
      <protection locked="true" hidden="false"/>
    </xf>
    <xf numFmtId="167" fontId="10" fillId="0" borderId="2" xfId="0" applyFont="true" applyBorder="true" applyAlignment="true" applyProtection="false">
      <alignment horizontal="center" vertical="center" textRotation="0" wrapText="false" indent="0" shrinkToFit="false"/>
      <protection locked="true" hidden="false"/>
    </xf>
    <xf numFmtId="164" fontId="10" fillId="0" borderId="0" xfId="0" applyFont="true" applyBorder="true" applyAlignment="true" applyProtection="false">
      <alignment horizontal="justify" vertical="top" textRotation="0" wrapText="true" indent="0" shrinkToFit="false"/>
      <protection locked="true" hidden="false"/>
    </xf>
    <xf numFmtId="164" fontId="5" fillId="0" borderId="0" xfId="0" applyFont="true" applyBorder="true" applyAlignment="true" applyProtection="false">
      <alignment horizontal="justify" vertical="top" textRotation="0" wrapText="true" indent="0" shrinkToFit="false"/>
      <protection locked="true" hidden="false"/>
    </xf>
    <xf numFmtId="164" fontId="4" fillId="0" borderId="0" xfId="0" applyFont="true" applyBorder="false" applyAlignment="true" applyProtection="false">
      <alignment horizontal="left" vertical="center" textRotation="0" wrapText="false" indent="0" shrinkToFit="false"/>
      <protection locked="true" hidden="false"/>
    </xf>
    <xf numFmtId="164" fontId="13" fillId="3"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center" vertical="top" textRotation="0" wrapText="false" indent="0" shrinkToFit="false"/>
      <protection locked="true" hidden="false"/>
    </xf>
    <xf numFmtId="164" fontId="4"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B0F0"/>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2:E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6.6"/>
    <col collapsed="false" customWidth="true" hidden="false" outlineLevel="0" max="2" min="2" style="0" width="44"/>
    <col collapsed="false" customWidth="true" hidden="false" outlineLevel="0" max="4" min="3" style="0" width="18"/>
    <col collapsed="false" customWidth="true" hidden="false" outlineLevel="0" max="5" min="5" style="0" width="22"/>
  </cols>
  <sheetData>
    <row r="2" customFormat="false" ht="15" hidden="false" customHeight="false" outlineLevel="0" collapsed="false">
      <c r="A2" s="1" t="s">
        <v>0</v>
      </c>
      <c r="B2" s="2" t="s">
        <v>1</v>
      </c>
    </row>
    <row r="3" customFormat="false" ht="33" hidden="false" customHeight="true" outlineLevel="0" collapsed="false">
      <c r="A3" s="3" t="s">
        <v>2</v>
      </c>
      <c r="B3" s="4" t="s">
        <v>3</v>
      </c>
    </row>
    <row r="4" customFormat="false" ht="15" hidden="false" customHeight="false" outlineLevel="0" collapsed="false">
      <c r="A4" s="1" t="s">
        <v>4</v>
      </c>
      <c r="B4" s="5" t="s">
        <v>5</v>
      </c>
    </row>
    <row r="5" customFormat="false" ht="15" hidden="false" customHeight="false" outlineLevel="0" collapsed="false">
      <c r="A5" s="1" t="s">
        <v>6</v>
      </c>
      <c r="B5" s="2" t="s">
        <v>7</v>
      </c>
    </row>
    <row r="6" customFormat="false" ht="15" hidden="false" customHeight="false" outlineLevel="0" collapsed="false">
      <c r="A6" s="1" t="s">
        <v>8</v>
      </c>
      <c r="B6" s="5" t="s">
        <v>5</v>
      </c>
    </row>
    <row r="7" customFormat="false" ht="15" hidden="false" customHeight="false" outlineLevel="0" collapsed="false">
      <c r="A7" s="1" t="s">
        <v>9</v>
      </c>
      <c r="B7" s="6" t="n">
        <v>45748</v>
      </c>
    </row>
    <row r="8" customFormat="false" ht="15" hidden="false" customHeight="false" outlineLevel="0" collapsed="false">
      <c r="A8" s="1" t="s">
        <v>10</v>
      </c>
      <c r="B8" s="6" t="n">
        <v>46112</v>
      </c>
    </row>
    <row r="9" customFormat="false" ht="15" hidden="false" customHeight="false" outlineLevel="0" collapsed="false">
      <c r="A9" s="1" t="s">
        <v>11</v>
      </c>
      <c r="B9" s="6" t="n">
        <v>45747</v>
      </c>
    </row>
    <row r="10" customFormat="false" ht="15" hidden="false" customHeight="false" outlineLevel="0" collapsed="false">
      <c r="A10" s="1" t="s">
        <v>12</v>
      </c>
      <c r="B10" s="2" t="s">
        <v>13</v>
      </c>
    </row>
    <row r="11" customFormat="false" ht="15" hidden="false" customHeight="false" outlineLevel="0" collapsed="false">
      <c r="A11" s="1" t="s">
        <v>14</v>
      </c>
      <c r="B11" s="2" t="s">
        <v>15</v>
      </c>
    </row>
    <row r="13" customFormat="false" ht="15" hidden="false" customHeight="false" outlineLevel="0" collapsed="false">
      <c r="A13" s="1" t="s">
        <v>16</v>
      </c>
      <c r="B13" s="5" t="s">
        <v>5</v>
      </c>
    </row>
    <row r="14" customFormat="false" ht="15" hidden="false" customHeight="false" outlineLevel="0" collapsed="false">
      <c r="A14" s="1" t="s">
        <v>17</v>
      </c>
      <c r="B14" s="5" t="s">
        <v>5</v>
      </c>
    </row>
    <row r="15" customFormat="false" ht="15" hidden="false" customHeight="false" outlineLevel="0" collapsed="false">
      <c r="A15" s="1" t="s">
        <v>18</v>
      </c>
      <c r="B15" s="5" t="s">
        <v>5</v>
      </c>
    </row>
    <row r="16" customFormat="false" ht="15" hidden="false" customHeight="false" outlineLevel="0" collapsed="false">
      <c r="A16" s="1" t="s">
        <v>19</v>
      </c>
      <c r="B16" s="5" t="s">
        <v>5</v>
      </c>
    </row>
    <row r="17" customFormat="false" ht="15" hidden="false" customHeight="false" outlineLevel="0" collapsed="false">
      <c r="A17" s="1" t="s">
        <v>20</v>
      </c>
      <c r="B17" s="5" t="s">
        <v>5</v>
      </c>
    </row>
    <row r="18" customFormat="false" ht="15" hidden="false" customHeight="false" outlineLevel="0" collapsed="false">
      <c r="A18" s="1" t="s">
        <v>21</v>
      </c>
      <c r="B18" s="5" t="s">
        <v>5</v>
      </c>
    </row>
    <row r="19" customFormat="false" ht="15" hidden="false" customHeight="false" outlineLevel="0" collapsed="false">
      <c r="A19" s="1" t="s">
        <v>22</v>
      </c>
      <c r="B19" s="5" t="s">
        <v>5</v>
      </c>
    </row>
    <row r="20" customFormat="false" ht="15" hidden="false" customHeight="false" outlineLevel="0" collapsed="false">
      <c r="A20" s="1" t="s">
        <v>23</v>
      </c>
      <c r="B20" s="5" t="s">
        <v>5</v>
      </c>
    </row>
    <row r="22" customFormat="false" ht="15" hidden="false" customHeight="false" outlineLevel="0" collapsed="false">
      <c r="A22" s="1" t="s">
        <v>24</v>
      </c>
      <c r="B22" s="2" t="s">
        <v>25</v>
      </c>
    </row>
    <row r="23" customFormat="false" ht="15" hidden="false" customHeight="false" outlineLevel="0" collapsed="false">
      <c r="A23" s="1" t="s">
        <v>26</v>
      </c>
      <c r="B23" s="5" t="s">
        <v>5</v>
      </c>
    </row>
    <row r="24" customFormat="false" ht="15" hidden="false" customHeight="false" outlineLevel="0" collapsed="false">
      <c r="A24" s="1" t="s">
        <v>27</v>
      </c>
      <c r="B24" s="5" t="s">
        <v>5</v>
      </c>
    </row>
    <row r="25" customFormat="false" ht="15" hidden="false" customHeight="false" outlineLevel="0" collapsed="false">
      <c r="A25" s="1" t="s">
        <v>28</v>
      </c>
      <c r="B25" s="5" t="s">
        <v>5</v>
      </c>
    </row>
    <row r="26" customFormat="false" ht="15" hidden="false" customHeight="false" outlineLevel="0" collapsed="false">
      <c r="A26" s="1" t="s">
        <v>29</v>
      </c>
      <c r="B26" s="5" t="s">
        <v>5</v>
      </c>
    </row>
    <row r="27" customFormat="false" ht="15" hidden="false" customHeight="false" outlineLevel="0" collapsed="false">
      <c r="A27" s="1" t="s">
        <v>26</v>
      </c>
      <c r="B27" s="5" t="s">
        <v>5</v>
      </c>
    </row>
    <row r="28" customFormat="false" ht="15" hidden="false" customHeight="false" outlineLevel="0" collapsed="false">
      <c r="A28" s="1" t="s">
        <v>27</v>
      </c>
      <c r="B28" s="2" t="str">
        <f aca="false">B24</f>
        <v>[To be provided]</v>
      </c>
    </row>
    <row r="29" customFormat="false" ht="15" hidden="false" customHeight="false" outlineLevel="0" collapsed="false">
      <c r="A29" s="1" t="s">
        <v>28</v>
      </c>
      <c r="B29" s="5" t="s">
        <v>5</v>
      </c>
    </row>
    <row r="31" customFormat="false" ht="15" hidden="false" customHeight="false" outlineLevel="0" collapsed="false">
      <c r="A31" s="1" t="s">
        <v>30</v>
      </c>
      <c r="B31" s="2" t="n">
        <v>100</v>
      </c>
    </row>
    <row r="32" customFormat="false" ht="15" hidden="false" customHeight="false" outlineLevel="0" collapsed="false">
      <c r="A32" s="1" t="s">
        <v>31</v>
      </c>
      <c r="B32" s="2" t="str">
        <f aca="false">IF(B31=100,"(Amount in ₹ '00)",IF(B31=1000,"(Amount in ₹ '000)",IF(B31=1,"(Amount in ₹)","(Amount in ₹ / "&amp;B31&amp;")")))</f>
        <v>(Amount in ₹ '00)</v>
      </c>
    </row>
    <row r="33" customFormat="false" ht="15" hidden="false" customHeight="false" outlineLevel="0" collapsed="false">
      <c r="A33" s="1" t="s">
        <v>32</v>
      </c>
      <c r="B33" s="2" t="str">
        <f aca="false">UPPER(TEXT(B8,"mmmm d, yyyy"))</f>
        <v>MARCH 31, 2026</v>
      </c>
    </row>
    <row r="34" customFormat="false" ht="15" hidden="false" customHeight="false" outlineLevel="0" collapsed="false">
      <c r="A34" s="1" t="s">
        <v>33</v>
      </c>
      <c r="B34" s="2" t="str">
        <f aca="false">UPPER(TEXT(B9,"mmmm d, yyyy"))</f>
        <v>MARCH 31, 2025</v>
      </c>
    </row>
    <row r="36" customFormat="false" ht="15" hidden="false" customHeight="false" outlineLevel="0" collapsed="false">
      <c r="A36" s="7" t="s">
        <v>34</v>
      </c>
    </row>
    <row r="37" customFormat="false" ht="33" hidden="false" customHeight="true" outlineLevel="0" collapsed="false">
      <c r="A37" s="8" t="s">
        <v>35</v>
      </c>
      <c r="B37" s="8" t="s">
        <v>36</v>
      </c>
      <c r="C37" s="9" t="s">
        <v>37</v>
      </c>
      <c r="D37" s="9" t="s">
        <v>38</v>
      </c>
      <c r="E37" s="9" t="s">
        <v>39</v>
      </c>
    </row>
    <row r="38" customFormat="false" ht="15" hidden="false" customHeight="false" outlineLevel="0" collapsed="false">
      <c r="A38" s="10" t="str">
        <f aca="false">B22</f>
        <v>Samartha Raghava Nagabhushanam</v>
      </c>
      <c r="B38" s="10" t="s">
        <v>40</v>
      </c>
      <c r="C38" s="11" t="n">
        <f aca="false">SUMIFS(TB!$D:$D,TB!$I:$I,"Partners Capital - Samartha R.N")</f>
        <v>90000</v>
      </c>
      <c r="D38" s="11" t="n">
        <f aca="false">SUMIFS(TB!$F:$F,TB!$I:$I,"Partners Capital - Samartha R.N")</f>
        <v>90000</v>
      </c>
      <c r="E38" s="12" t="s">
        <v>5</v>
      </c>
    </row>
    <row r="39" customFormat="false" ht="15" hidden="false" customHeight="false" outlineLevel="0" collapsed="false">
      <c r="A39" s="10" t="str">
        <f aca="false">B26</f>
        <v>[To be provided]</v>
      </c>
      <c r="B39" s="13" t="s">
        <v>41</v>
      </c>
      <c r="C39" s="11" t="n">
        <v>0</v>
      </c>
      <c r="D39" s="11" t="n">
        <v>0</v>
      </c>
      <c r="E39" s="12" t="s">
        <v>5</v>
      </c>
    </row>
    <row r="40" customFormat="false" ht="15" hidden="false" customHeight="false" outlineLevel="0" collapsed="false">
      <c r="A40" s="8" t="s">
        <v>42</v>
      </c>
      <c r="B40" s="14"/>
      <c r="C40" s="15" t="n">
        <f aca="false">SUM(C38:C39)</f>
        <v>90000</v>
      </c>
      <c r="D40" s="15" t="n">
        <f aca="false">SUM(D38:D39)</f>
        <v>90000</v>
      </c>
      <c r="E40" s="14"/>
    </row>
    <row r="42" customFormat="false" ht="63.75" hidden="false" customHeight="true" outlineLevel="0" collapsed="false">
      <c r="A42" s="7" t="s">
        <v>43</v>
      </c>
      <c r="B42" s="16" t="s">
        <v>44</v>
      </c>
      <c r="C42" s="16"/>
      <c r="D42" s="16"/>
      <c r="E42" s="16"/>
    </row>
  </sheetData>
  <mergeCells count="1">
    <mergeCell ref="B42:E42"/>
  </mergeCells>
  <printOptions headings="false" gridLines="false" gridLinesSet="true" horizontalCentered="false" verticalCentered="false"/>
  <pageMargins left="0.39375" right="0.39375" top="0.39375" bottom="0.39375"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7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46"/>
    <col collapsed="false" customWidth="true" hidden="false" outlineLevel="0" max="2" min="2" style="0" width="40"/>
    <col collapsed="false" customWidth="true" hidden="false" outlineLevel="0" max="6" min="3" style="0" width="14.5"/>
    <col collapsed="false" customWidth="true" hidden="false" outlineLevel="0" max="8" min="7" style="0" width="13"/>
    <col collapsed="false" customWidth="true" hidden="false" outlineLevel="0" max="9" min="9" style="0" width="44"/>
    <col collapsed="false" customWidth="true" hidden="false" outlineLevel="0" max="10" min="10" style="0" width="30"/>
  </cols>
  <sheetData>
    <row r="1" customFormat="false" ht="15" hidden="false" customHeight="false" outlineLevel="0" collapsed="false">
      <c r="A1" s="17" t="str">
        <f aca="false">Master!B2</f>
        <v>Daivbharathi Technologies LLP</v>
      </c>
    </row>
    <row r="2" customFormat="false" ht="15" hidden="false" customHeight="false" outlineLevel="0" collapsed="false">
      <c r="A2" s="18" t="s">
        <v>45</v>
      </c>
    </row>
    <row r="3" customFormat="false" ht="15" hidden="false" customHeight="false" outlineLevel="0" collapsed="false">
      <c r="A3" s="17" t="str">
        <f aca="false">"Current year: "&amp;Master!B10&amp;"   |   Previous year: "&amp;Master!B11</f>
        <v>Current year: 1-Apr-25 to 23-Mar-26   |   Previous year: 1-Apr-24 to 31-Mar-25</v>
      </c>
    </row>
    <row r="4" customFormat="false" ht="15" hidden="false" customHeight="false" outlineLevel="0" collapsed="false">
      <c r="A4" s="19" t="s">
        <v>46</v>
      </c>
      <c r="C4" s="20" t="n">
        <f aca="false">SUM(C7:C76)</f>
        <v>4380402.48</v>
      </c>
      <c r="D4" s="20" t="n">
        <f aca="false">SUM(D7:D76)</f>
        <v>4380402.48</v>
      </c>
      <c r="E4" s="20" t="n">
        <f aca="false">SUM(E7:E76)</f>
        <v>1133680</v>
      </c>
      <c r="F4" s="20" t="n">
        <f aca="false">SUM(F7:F76)</f>
        <v>1133680</v>
      </c>
      <c r="G4" s="21" t="n">
        <f aca="false">SUM(G7:G76)</f>
        <v>87608.0496</v>
      </c>
      <c r="H4" s="21" t="n">
        <f aca="false">SUM(H7:H76)</f>
        <v>22673.6</v>
      </c>
    </row>
    <row r="5" customFormat="false" ht="15" hidden="false" customHeight="false" outlineLevel="0" collapsed="false">
      <c r="C5" s="22" t="s">
        <v>47</v>
      </c>
      <c r="D5" s="22"/>
      <c r="E5" s="22" t="s">
        <v>48</v>
      </c>
      <c r="F5" s="22"/>
      <c r="G5" s="23" t="s">
        <v>49</v>
      </c>
      <c r="H5" s="23"/>
    </row>
    <row r="6" customFormat="false" ht="30" hidden="false" customHeight="true" outlineLevel="0" collapsed="false">
      <c r="A6" s="24" t="s">
        <v>50</v>
      </c>
      <c r="B6" s="24" t="s">
        <v>51</v>
      </c>
      <c r="C6" s="24" t="s">
        <v>52</v>
      </c>
      <c r="D6" s="24" t="s">
        <v>53</v>
      </c>
      <c r="E6" s="24" t="s">
        <v>52</v>
      </c>
      <c r="F6" s="24" t="s">
        <v>53</v>
      </c>
      <c r="G6" s="24" t="s">
        <v>54</v>
      </c>
      <c r="H6" s="24" t="s">
        <v>55</v>
      </c>
      <c r="I6" s="24" t="s">
        <v>56</v>
      </c>
      <c r="J6" s="24" t="s">
        <v>57</v>
      </c>
    </row>
    <row r="7" customFormat="false" ht="15" hidden="false" customHeight="false" outlineLevel="0" collapsed="false">
      <c r="A7" s="25" t="s">
        <v>40</v>
      </c>
      <c r="B7" s="25" t="s">
        <v>58</v>
      </c>
      <c r="C7" s="26"/>
      <c r="D7" s="26" t="n">
        <v>90000</v>
      </c>
      <c r="E7" s="26"/>
      <c r="F7" s="26" t="n">
        <v>90000</v>
      </c>
      <c r="G7" s="26" t="n">
        <f aca="false">(C7+D7)/Master!$B$31</f>
        <v>900</v>
      </c>
      <c r="H7" s="26" t="n">
        <f aca="false">(E7+F7)/Master!$B$31</f>
        <v>900</v>
      </c>
      <c r="I7" s="25" t="s">
        <v>59</v>
      </c>
      <c r="J7" s="25" t="s">
        <v>60</v>
      </c>
    </row>
    <row r="8" customFormat="false" ht="15" hidden="false" customHeight="false" outlineLevel="0" collapsed="false">
      <c r="A8" s="25" t="s">
        <v>61</v>
      </c>
      <c r="B8" s="25" t="s">
        <v>62</v>
      </c>
      <c r="C8" s="26"/>
      <c r="D8" s="26" t="n">
        <v>170180</v>
      </c>
      <c r="E8" s="26"/>
      <c r="F8" s="26"/>
      <c r="G8" s="26" t="n">
        <f aca="false">(C8+D8)/Master!$B$31</f>
        <v>1701.8</v>
      </c>
      <c r="H8" s="26" t="n">
        <f aca="false">(E8+F8)/Master!$B$31</f>
        <v>0</v>
      </c>
      <c r="I8" s="25" t="s">
        <v>63</v>
      </c>
      <c r="J8" s="25" t="s">
        <v>64</v>
      </c>
    </row>
    <row r="9" customFormat="false" ht="15" hidden="false" customHeight="false" outlineLevel="0" collapsed="false">
      <c r="A9" s="25" t="s">
        <v>65</v>
      </c>
      <c r="B9" s="25" t="s">
        <v>62</v>
      </c>
      <c r="C9" s="26"/>
      <c r="D9" s="26" t="n">
        <v>2480680</v>
      </c>
      <c r="E9" s="26"/>
      <c r="F9" s="26" t="n">
        <v>780680</v>
      </c>
      <c r="G9" s="26" t="n">
        <f aca="false">(C9+D9)/Master!$B$31</f>
        <v>24806.8</v>
      </c>
      <c r="H9" s="26" t="n">
        <f aca="false">(E9+F9)/Master!$B$31</f>
        <v>7806.8</v>
      </c>
      <c r="I9" s="25" t="s">
        <v>66</v>
      </c>
      <c r="J9" s="25" t="s">
        <v>64</v>
      </c>
    </row>
    <row r="10" customFormat="false" ht="15" hidden="false" customHeight="false" outlineLevel="0" collapsed="false">
      <c r="A10" s="25" t="s">
        <v>67</v>
      </c>
      <c r="B10" s="25" t="s">
        <v>68</v>
      </c>
      <c r="C10" s="26"/>
      <c r="D10" s="26" t="n">
        <v>21760</v>
      </c>
      <c r="E10" s="26"/>
      <c r="F10" s="26" t="n">
        <v>35000</v>
      </c>
      <c r="G10" s="26" t="n">
        <f aca="false">(C10+D10)/Master!$B$31</f>
        <v>217.6</v>
      </c>
      <c r="H10" s="26" t="n">
        <f aca="false">(E10+F10)/Master!$B$31</f>
        <v>350</v>
      </c>
      <c r="I10" s="25" t="s">
        <v>69</v>
      </c>
      <c r="J10" s="25" t="s">
        <v>70</v>
      </c>
    </row>
    <row r="11" customFormat="false" ht="15" hidden="false" customHeight="false" outlineLevel="0" collapsed="false">
      <c r="A11" s="25" t="s">
        <v>71</v>
      </c>
      <c r="B11" s="25" t="s">
        <v>68</v>
      </c>
      <c r="C11" s="26"/>
      <c r="D11" s="26" t="n">
        <v>7505.41</v>
      </c>
      <c r="E11" s="26"/>
      <c r="F11" s="26"/>
      <c r="G11" s="26" t="n">
        <f aca="false">(C11+D11)/Master!$B$31</f>
        <v>75.0541</v>
      </c>
      <c r="H11" s="26" t="n">
        <f aca="false">(E11+F11)/Master!$B$31</f>
        <v>0</v>
      </c>
      <c r="I11" s="25" t="s">
        <v>71</v>
      </c>
      <c r="J11" s="25" t="s">
        <v>70</v>
      </c>
    </row>
    <row r="12" customFormat="false" ht="15" hidden="false" customHeight="false" outlineLevel="0" collapsed="false">
      <c r="A12" s="25" t="s">
        <v>72</v>
      </c>
      <c r="B12" s="25" t="s">
        <v>68</v>
      </c>
      <c r="C12" s="26" t="n">
        <v>2820.94</v>
      </c>
      <c r="D12" s="26"/>
      <c r="E12" s="26"/>
      <c r="F12" s="26"/>
      <c r="G12" s="26" t="n">
        <f aca="false">(C12+D12)/Master!$B$31</f>
        <v>28.2094</v>
      </c>
      <c r="H12" s="26" t="n">
        <f aca="false">(E12+F12)/Master!$B$31</f>
        <v>0</v>
      </c>
      <c r="I12" s="25" t="s">
        <v>73</v>
      </c>
      <c r="J12" s="25" t="s">
        <v>74</v>
      </c>
    </row>
    <row r="13" customFormat="false" ht="15" hidden="false" customHeight="false" outlineLevel="0" collapsed="false">
      <c r="A13" s="25" t="s">
        <v>75</v>
      </c>
      <c r="B13" s="25" t="s">
        <v>68</v>
      </c>
      <c r="C13" s="26" t="n">
        <v>2820.94</v>
      </c>
      <c r="D13" s="26"/>
      <c r="E13" s="26"/>
      <c r="F13" s="26"/>
      <c r="G13" s="26" t="n">
        <f aca="false">(C13+D13)/Master!$B$31</f>
        <v>28.2094</v>
      </c>
      <c r="H13" s="26" t="n">
        <f aca="false">(E13+F13)/Master!$B$31</f>
        <v>0</v>
      </c>
      <c r="I13" s="25" t="s">
        <v>76</v>
      </c>
      <c r="J13" s="25" t="s">
        <v>74</v>
      </c>
    </row>
    <row r="14" customFormat="false" ht="15" hidden="false" customHeight="false" outlineLevel="0" collapsed="false">
      <c r="A14" s="25" t="s">
        <v>77</v>
      </c>
      <c r="B14" s="25" t="s">
        <v>78</v>
      </c>
      <c r="C14" s="26"/>
      <c r="D14" s="26" t="n">
        <v>30800</v>
      </c>
      <c r="E14" s="26"/>
      <c r="F14" s="26"/>
      <c r="G14" s="26" t="n">
        <f aca="false">(C14+D14)/Master!$B$31</f>
        <v>308</v>
      </c>
      <c r="H14" s="26" t="n">
        <f aca="false">(E14+F14)/Master!$B$31</f>
        <v>0</v>
      </c>
      <c r="I14" s="25" t="s">
        <v>79</v>
      </c>
      <c r="J14" s="25" t="s">
        <v>80</v>
      </c>
    </row>
    <row r="15" customFormat="false" ht="15" hidden="false" customHeight="false" outlineLevel="0" collapsed="false">
      <c r="A15" s="25" t="s">
        <v>81</v>
      </c>
      <c r="B15" s="25" t="s">
        <v>78</v>
      </c>
      <c r="C15" s="26"/>
      <c r="D15" s="26" t="n">
        <v>8606.5</v>
      </c>
      <c r="E15" s="26"/>
      <c r="F15" s="26"/>
      <c r="G15" s="26" t="n">
        <f aca="false">(C15+D15)/Master!$B$31</f>
        <v>86.065</v>
      </c>
      <c r="H15" s="26" t="n">
        <f aca="false">(E15+F15)/Master!$B$31</f>
        <v>0</v>
      </c>
      <c r="I15" s="25" t="s">
        <v>79</v>
      </c>
      <c r="J15" s="25" t="s">
        <v>80</v>
      </c>
    </row>
    <row r="16" customFormat="false" ht="15" hidden="false" customHeight="false" outlineLevel="0" collapsed="false">
      <c r="A16" s="25" t="s">
        <v>82</v>
      </c>
      <c r="B16" s="25" t="s">
        <v>78</v>
      </c>
      <c r="C16" s="26"/>
      <c r="D16" s="26" t="n">
        <v>6339.78</v>
      </c>
      <c r="E16" s="26"/>
      <c r="F16" s="26"/>
      <c r="G16" s="26" t="n">
        <f aca="false">(C16+D16)/Master!$B$31</f>
        <v>63.3978</v>
      </c>
      <c r="H16" s="26" t="n">
        <f aca="false">(E16+F16)/Master!$B$31</f>
        <v>0</v>
      </c>
      <c r="I16" s="25" t="s">
        <v>79</v>
      </c>
      <c r="J16" s="25" t="s">
        <v>80</v>
      </c>
    </row>
    <row r="17" customFormat="false" ht="15" hidden="false" customHeight="false" outlineLevel="0" collapsed="false">
      <c r="A17" s="25" t="s">
        <v>83</v>
      </c>
      <c r="B17" s="25" t="s">
        <v>78</v>
      </c>
      <c r="C17" s="26"/>
      <c r="D17" s="26" t="n">
        <v>3000</v>
      </c>
      <c r="E17" s="26"/>
      <c r="F17" s="26"/>
      <c r="G17" s="26" t="n">
        <f aca="false">(C17+D17)/Master!$B$31</f>
        <v>30</v>
      </c>
      <c r="H17" s="26" t="n">
        <f aca="false">(E17+F17)/Master!$B$31</f>
        <v>0</v>
      </c>
      <c r="I17" s="25" t="s">
        <v>79</v>
      </c>
      <c r="J17" s="25" t="s">
        <v>80</v>
      </c>
    </row>
    <row r="18" customFormat="false" ht="15" hidden="false" customHeight="false" outlineLevel="0" collapsed="false">
      <c r="A18" s="25" t="s">
        <v>84</v>
      </c>
      <c r="B18" s="25" t="s">
        <v>78</v>
      </c>
      <c r="C18" s="26"/>
      <c r="D18" s="26" t="n">
        <v>8815</v>
      </c>
      <c r="E18" s="26"/>
      <c r="F18" s="26"/>
      <c r="G18" s="26" t="n">
        <f aca="false">(C18+D18)/Master!$B$31</f>
        <v>88.15</v>
      </c>
      <c r="H18" s="26" t="n">
        <f aca="false">(E18+F18)/Master!$B$31</f>
        <v>0</v>
      </c>
      <c r="I18" s="25" t="s">
        <v>79</v>
      </c>
      <c r="J18" s="25" t="s">
        <v>80</v>
      </c>
    </row>
    <row r="19" customFormat="false" ht="15" hidden="false" customHeight="false" outlineLevel="0" collapsed="false">
      <c r="A19" s="25" t="s">
        <v>85</v>
      </c>
      <c r="B19" s="25" t="s">
        <v>78</v>
      </c>
      <c r="C19" s="26"/>
      <c r="D19" s="26" t="n">
        <v>163951.21</v>
      </c>
      <c r="E19" s="26"/>
      <c r="F19" s="26"/>
      <c r="G19" s="26" t="n">
        <f aca="false">(C19+D19)/Master!$B$31</f>
        <v>1639.5121</v>
      </c>
      <c r="H19" s="26" t="n">
        <f aca="false">(E19+F19)/Master!$B$31</f>
        <v>0</v>
      </c>
      <c r="I19" s="25" t="s">
        <v>79</v>
      </c>
      <c r="J19" s="25" t="s">
        <v>80</v>
      </c>
    </row>
    <row r="20" customFormat="false" ht="15" hidden="false" customHeight="false" outlineLevel="0" collapsed="false">
      <c r="A20" s="25" t="s">
        <v>86</v>
      </c>
      <c r="B20" s="25" t="s">
        <v>78</v>
      </c>
      <c r="C20" s="26"/>
      <c r="D20" s="26" t="n">
        <v>3657.53</v>
      </c>
      <c r="E20" s="26"/>
      <c r="F20" s="26"/>
      <c r="G20" s="26" t="n">
        <f aca="false">(C20+D20)/Master!$B$31</f>
        <v>36.5753</v>
      </c>
      <c r="H20" s="26" t="n">
        <f aca="false">(E20+F20)/Master!$B$31</f>
        <v>0</v>
      </c>
      <c r="I20" s="25" t="s">
        <v>79</v>
      </c>
      <c r="J20" s="25" t="s">
        <v>80</v>
      </c>
    </row>
    <row r="21" customFormat="false" ht="15" hidden="false" customHeight="false" outlineLevel="0" collapsed="false">
      <c r="A21" s="25" t="s">
        <v>87</v>
      </c>
      <c r="B21" s="25" t="s">
        <v>78</v>
      </c>
      <c r="C21" s="26"/>
      <c r="D21" s="26" t="n">
        <v>9263</v>
      </c>
      <c r="E21" s="26"/>
      <c r="F21" s="26"/>
      <c r="G21" s="26" t="n">
        <f aca="false">(C21+D21)/Master!$B$31</f>
        <v>92.63</v>
      </c>
      <c r="H21" s="26" t="n">
        <f aca="false">(E21+F21)/Master!$B$31</f>
        <v>0</v>
      </c>
      <c r="I21" s="25" t="s">
        <v>79</v>
      </c>
      <c r="J21" s="25" t="s">
        <v>80</v>
      </c>
    </row>
    <row r="22" customFormat="false" ht="15" hidden="false" customHeight="false" outlineLevel="0" collapsed="false">
      <c r="A22" s="25" t="s">
        <v>88</v>
      </c>
      <c r="B22" s="25" t="s">
        <v>78</v>
      </c>
      <c r="C22" s="26"/>
      <c r="D22" s="26" t="n">
        <v>5400</v>
      </c>
      <c r="E22" s="26"/>
      <c r="F22" s="26"/>
      <c r="G22" s="26" t="n">
        <f aca="false">(C22+D22)/Master!$B$31</f>
        <v>54</v>
      </c>
      <c r="H22" s="26" t="n">
        <f aca="false">(E22+F22)/Master!$B$31</f>
        <v>0</v>
      </c>
      <c r="I22" s="25" t="s">
        <v>79</v>
      </c>
      <c r="J22" s="25" t="s">
        <v>80</v>
      </c>
    </row>
    <row r="23" customFormat="false" ht="15" hidden="false" customHeight="false" outlineLevel="0" collapsed="false">
      <c r="A23" s="25" t="s">
        <v>89</v>
      </c>
      <c r="B23" s="25" t="s">
        <v>78</v>
      </c>
      <c r="C23" s="26"/>
      <c r="D23" s="26" t="n">
        <v>33930</v>
      </c>
      <c r="E23" s="26"/>
      <c r="F23" s="26"/>
      <c r="G23" s="26" t="n">
        <f aca="false">(C23+D23)/Master!$B$31</f>
        <v>339.3</v>
      </c>
      <c r="H23" s="26" t="n">
        <f aca="false">(E23+F23)/Master!$B$31</f>
        <v>0</v>
      </c>
      <c r="I23" s="25" t="s">
        <v>79</v>
      </c>
      <c r="J23" s="25" t="s">
        <v>80</v>
      </c>
    </row>
    <row r="24" customFormat="false" ht="15" hidden="false" customHeight="false" outlineLevel="0" collapsed="false">
      <c r="A24" s="25" t="s">
        <v>90</v>
      </c>
      <c r="B24" s="25" t="s">
        <v>78</v>
      </c>
      <c r="C24" s="26"/>
      <c r="D24" s="26" t="n">
        <v>90000</v>
      </c>
      <c r="E24" s="26"/>
      <c r="F24" s="26"/>
      <c r="G24" s="26" t="n">
        <f aca="false">(C24+D24)/Master!$B$31</f>
        <v>900</v>
      </c>
      <c r="H24" s="26" t="n">
        <f aca="false">(E24+F24)/Master!$B$31</f>
        <v>0</v>
      </c>
      <c r="I24" s="25" t="s">
        <v>79</v>
      </c>
      <c r="J24" s="25" t="s">
        <v>80</v>
      </c>
    </row>
    <row r="25" customFormat="false" ht="15" hidden="false" customHeight="false" outlineLevel="0" collapsed="false">
      <c r="A25" s="25" t="s">
        <v>91</v>
      </c>
      <c r="B25" s="25" t="s">
        <v>78</v>
      </c>
      <c r="C25" s="26"/>
      <c r="D25" s="26" t="n">
        <v>5000</v>
      </c>
      <c r="E25" s="26"/>
      <c r="F25" s="26"/>
      <c r="G25" s="26" t="n">
        <f aca="false">(C25+D25)/Master!$B$31</f>
        <v>50</v>
      </c>
      <c r="H25" s="26" t="n">
        <f aca="false">(E25+F25)/Master!$B$31</f>
        <v>0</v>
      </c>
      <c r="I25" s="25" t="s">
        <v>79</v>
      </c>
      <c r="J25" s="25" t="s">
        <v>80</v>
      </c>
    </row>
    <row r="26" customFormat="false" ht="15" hidden="false" customHeight="false" outlineLevel="0" collapsed="false">
      <c r="A26" s="25" t="s">
        <v>92</v>
      </c>
      <c r="B26" s="25" t="s">
        <v>78</v>
      </c>
      <c r="C26" s="26"/>
      <c r="D26" s="26" t="n">
        <v>2000.9</v>
      </c>
      <c r="E26" s="26"/>
      <c r="F26" s="26"/>
      <c r="G26" s="26" t="n">
        <f aca="false">(C26+D26)/Master!$B$31</f>
        <v>20.009</v>
      </c>
      <c r="H26" s="26" t="n">
        <f aca="false">(E26+F26)/Master!$B$31</f>
        <v>0</v>
      </c>
      <c r="I26" s="25" t="s">
        <v>79</v>
      </c>
      <c r="J26" s="25" t="s">
        <v>80</v>
      </c>
    </row>
    <row r="27" customFormat="false" ht="15" hidden="false" customHeight="false" outlineLevel="0" collapsed="false">
      <c r="A27" s="25" t="s">
        <v>93</v>
      </c>
      <c r="B27" s="25" t="s">
        <v>78</v>
      </c>
      <c r="C27" s="26"/>
      <c r="D27" s="26" t="n">
        <v>30452.56</v>
      </c>
      <c r="E27" s="26"/>
      <c r="F27" s="26"/>
      <c r="G27" s="26" t="n">
        <f aca="false">(C27+D27)/Master!$B$31</f>
        <v>304.5256</v>
      </c>
      <c r="H27" s="26" t="n">
        <f aca="false">(E27+F27)/Master!$B$31</f>
        <v>0</v>
      </c>
      <c r="I27" s="25" t="s">
        <v>79</v>
      </c>
      <c r="J27" s="25" t="s">
        <v>80</v>
      </c>
    </row>
    <row r="28" customFormat="false" ht="15" hidden="false" customHeight="false" outlineLevel="0" collapsed="false">
      <c r="A28" s="25" t="s">
        <v>94</v>
      </c>
      <c r="B28" s="25" t="s">
        <v>78</v>
      </c>
      <c r="C28" s="26"/>
      <c r="D28" s="26" t="n">
        <v>64590</v>
      </c>
      <c r="E28" s="26"/>
      <c r="F28" s="26"/>
      <c r="G28" s="26" t="n">
        <f aca="false">(C28+D28)/Master!$B$31</f>
        <v>645.9</v>
      </c>
      <c r="H28" s="26" t="n">
        <f aca="false">(E28+F28)/Master!$B$31</f>
        <v>0</v>
      </c>
      <c r="I28" s="25" t="s">
        <v>79</v>
      </c>
      <c r="J28" s="25" t="s">
        <v>80</v>
      </c>
    </row>
    <row r="29" customFormat="false" ht="15" hidden="false" customHeight="false" outlineLevel="0" collapsed="false">
      <c r="A29" s="25" t="s">
        <v>95</v>
      </c>
      <c r="B29" s="25" t="s">
        <v>78</v>
      </c>
      <c r="C29" s="26"/>
      <c r="D29" s="26" t="n">
        <v>520</v>
      </c>
      <c r="E29" s="26"/>
      <c r="F29" s="26"/>
      <c r="G29" s="26" t="n">
        <f aca="false">(C29+D29)/Master!$B$31</f>
        <v>5.2</v>
      </c>
      <c r="H29" s="26" t="n">
        <f aca="false">(E29+F29)/Master!$B$31</f>
        <v>0</v>
      </c>
      <c r="I29" s="25" t="s">
        <v>79</v>
      </c>
      <c r="J29" s="25" t="s">
        <v>80</v>
      </c>
    </row>
    <row r="30" customFormat="false" ht="15" hidden="false" customHeight="false" outlineLevel="0" collapsed="false">
      <c r="A30" s="25" t="s">
        <v>96</v>
      </c>
      <c r="B30" s="25" t="s">
        <v>78</v>
      </c>
      <c r="C30" s="26"/>
      <c r="D30" s="26" t="n">
        <v>2484</v>
      </c>
      <c r="E30" s="26"/>
      <c r="F30" s="26"/>
      <c r="G30" s="26" t="n">
        <f aca="false">(C30+D30)/Master!$B$31</f>
        <v>24.84</v>
      </c>
      <c r="H30" s="26" t="n">
        <f aca="false">(E30+F30)/Master!$B$31</f>
        <v>0</v>
      </c>
      <c r="I30" s="25" t="s">
        <v>79</v>
      </c>
      <c r="J30" s="25" t="s">
        <v>80</v>
      </c>
    </row>
    <row r="31" customFormat="false" ht="15" hidden="false" customHeight="false" outlineLevel="0" collapsed="false">
      <c r="A31" s="25" t="s">
        <v>97</v>
      </c>
      <c r="B31" s="25" t="s">
        <v>78</v>
      </c>
      <c r="C31" s="26"/>
      <c r="D31" s="26" t="n">
        <v>21500</v>
      </c>
      <c r="E31" s="26"/>
      <c r="F31" s="26"/>
      <c r="G31" s="26" t="n">
        <f aca="false">(C31+D31)/Master!$B$31</f>
        <v>215</v>
      </c>
      <c r="H31" s="26" t="n">
        <f aca="false">(E31+F31)/Master!$B$31</f>
        <v>0</v>
      </c>
      <c r="I31" s="25" t="s">
        <v>79</v>
      </c>
      <c r="J31" s="25" t="s">
        <v>80</v>
      </c>
    </row>
    <row r="32" customFormat="false" ht="15" hidden="false" customHeight="false" outlineLevel="0" collapsed="false">
      <c r="A32" s="25" t="s">
        <v>98</v>
      </c>
      <c r="B32" s="25" t="s">
        <v>78</v>
      </c>
      <c r="C32" s="26"/>
      <c r="D32" s="26" t="n">
        <v>22500</v>
      </c>
      <c r="E32" s="26"/>
      <c r="F32" s="26"/>
      <c r="G32" s="26" t="n">
        <f aca="false">(C32+D32)/Master!$B$31</f>
        <v>225</v>
      </c>
      <c r="H32" s="26" t="n">
        <f aca="false">(E32+F32)/Master!$B$31</f>
        <v>0</v>
      </c>
      <c r="I32" s="25" t="s">
        <v>79</v>
      </c>
      <c r="J32" s="25" t="s">
        <v>80</v>
      </c>
    </row>
    <row r="33" customFormat="false" ht="15" hidden="false" customHeight="false" outlineLevel="0" collapsed="false">
      <c r="A33" s="25" t="s">
        <v>99</v>
      </c>
      <c r="B33" s="25" t="s">
        <v>78</v>
      </c>
      <c r="C33" s="26"/>
      <c r="D33" s="26" t="n">
        <v>16528</v>
      </c>
      <c r="E33" s="26"/>
      <c r="F33" s="26" t="n">
        <v>67500</v>
      </c>
      <c r="G33" s="26" t="n">
        <f aca="false">(C33+D33)/Master!$B$31</f>
        <v>165.28</v>
      </c>
      <c r="H33" s="26" t="n">
        <f aca="false">(E33+F33)/Master!$B$31</f>
        <v>675</v>
      </c>
      <c r="I33" s="25" t="s">
        <v>79</v>
      </c>
      <c r="J33" s="25" t="s">
        <v>80</v>
      </c>
    </row>
    <row r="34" customFormat="false" ht="15" hidden="false" customHeight="false" outlineLevel="0" collapsed="false">
      <c r="A34" s="25" t="s">
        <v>100</v>
      </c>
      <c r="B34" s="25" t="s">
        <v>78</v>
      </c>
      <c r="C34" s="26"/>
      <c r="D34" s="26" t="n">
        <v>18982</v>
      </c>
      <c r="E34" s="26"/>
      <c r="F34" s="26"/>
      <c r="G34" s="26" t="n">
        <f aca="false">(C34+D34)/Master!$B$31</f>
        <v>189.82</v>
      </c>
      <c r="H34" s="26" t="n">
        <f aca="false">(E34+F34)/Master!$B$31</f>
        <v>0</v>
      </c>
      <c r="I34" s="25" t="s">
        <v>79</v>
      </c>
      <c r="J34" s="25" t="s">
        <v>80</v>
      </c>
    </row>
    <row r="35" customFormat="false" ht="15" hidden="false" customHeight="false" outlineLevel="0" collapsed="false">
      <c r="A35" s="25" t="s">
        <v>101</v>
      </c>
      <c r="B35" s="25" t="s">
        <v>78</v>
      </c>
      <c r="C35" s="26"/>
      <c r="D35" s="26"/>
      <c r="E35" s="26"/>
      <c r="F35" s="26" t="n">
        <v>3000</v>
      </c>
      <c r="G35" s="26" t="n">
        <f aca="false">(C35+D35)/Master!$B$31</f>
        <v>0</v>
      </c>
      <c r="H35" s="26" t="n">
        <f aca="false">(E35+F35)/Master!$B$31</f>
        <v>30</v>
      </c>
      <c r="I35" s="25" t="s">
        <v>79</v>
      </c>
      <c r="J35" s="25" t="s">
        <v>80</v>
      </c>
    </row>
    <row r="36" customFormat="false" ht="15" hidden="false" customHeight="false" outlineLevel="0" collapsed="false">
      <c r="A36" s="25" t="s">
        <v>102</v>
      </c>
      <c r="B36" s="25" t="s">
        <v>78</v>
      </c>
      <c r="C36" s="26"/>
      <c r="D36" s="26"/>
      <c r="E36" s="26"/>
      <c r="F36" s="26" t="n">
        <v>90000</v>
      </c>
      <c r="G36" s="26" t="n">
        <f aca="false">(C36+D36)/Master!$B$31</f>
        <v>0</v>
      </c>
      <c r="H36" s="26" t="n">
        <f aca="false">(E36+F36)/Master!$B$31</f>
        <v>900</v>
      </c>
      <c r="I36" s="25" t="s">
        <v>79</v>
      </c>
      <c r="J36" s="25" t="s">
        <v>80</v>
      </c>
    </row>
    <row r="37" customFormat="false" ht="15" hidden="false" customHeight="false" outlineLevel="0" collapsed="false">
      <c r="A37" s="25" t="s">
        <v>103</v>
      </c>
      <c r="B37" s="25" t="s">
        <v>78</v>
      </c>
      <c r="C37" s="26"/>
      <c r="D37" s="26"/>
      <c r="E37" s="26"/>
      <c r="F37" s="26" t="n">
        <v>67500</v>
      </c>
      <c r="G37" s="26" t="n">
        <f aca="false">(C37+D37)/Master!$B$31</f>
        <v>0</v>
      </c>
      <c r="H37" s="26" t="n">
        <f aca="false">(E37+F37)/Master!$B$31</f>
        <v>675</v>
      </c>
      <c r="I37" s="25" t="s">
        <v>79</v>
      </c>
      <c r="J37" s="25" t="s">
        <v>80</v>
      </c>
    </row>
    <row r="38" customFormat="false" ht="15" hidden="false" customHeight="false" outlineLevel="0" collapsed="false">
      <c r="A38" s="25" t="s">
        <v>104</v>
      </c>
      <c r="B38" s="25" t="s">
        <v>105</v>
      </c>
      <c r="C38" s="26" t="n">
        <v>15000</v>
      </c>
      <c r="D38" s="26"/>
      <c r="E38" s="26"/>
      <c r="F38" s="26"/>
      <c r="G38" s="26" t="n">
        <f aca="false">(C38+D38)/Master!$B$31</f>
        <v>150</v>
      </c>
      <c r="H38" s="26" t="n">
        <f aca="false">(E38+F38)/Master!$B$31</f>
        <v>0</v>
      </c>
      <c r="I38" s="25" t="s">
        <v>106</v>
      </c>
      <c r="J38" s="25" t="s">
        <v>107</v>
      </c>
    </row>
    <row r="39" customFormat="false" ht="15" hidden="false" customHeight="false" outlineLevel="0" collapsed="false">
      <c r="A39" s="25" t="s">
        <v>108</v>
      </c>
      <c r="B39" s="25" t="s">
        <v>105</v>
      </c>
      <c r="C39" s="26" t="n">
        <v>20000</v>
      </c>
      <c r="D39" s="26"/>
      <c r="E39" s="26"/>
      <c r="F39" s="26"/>
      <c r="G39" s="26" t="n">
        <f aca="false">(C39+D39)/Master!$B$31</f>
        <v>200</v>
      </c>
      <c r="H39" s="26" t="n">
        <f aca="false">(E39+F39)/Master!$B$31</f>
        <v>0</v>
      </c>
      <c r="I39" s="25" t="s">
        <v>109</v>
      </c>
      <c r="J39" s="25" t="s">
        <v>107</v>
      </c>
    </row>
    <row r="40" customFormat="false" ht="15" hidden="false" customHeight="false" outlineLevel="0" collapsed="false">
      <c r="A40" s="25" t="s">
        <v>110</v>
      </c>
      <c r="B40" s="25" t="s">
        <v>105</v>
      </c>
      <c r="C40" s="26" t="n">
        <v>121000</v>
      </c>
      <c r="D40" s="26"/>
      <c r="E40" s="26"/>
      <c r="F40" s="26"/>
      <c r="G40" s="26" t="n">
        <f aca="false">(C40+D40)/Master!$B$31</f>
        <v>1210</v>
      </c>
      <c r="H40" s="26" t="n">
        <f aca="false">(E40+F40)/Master!$B$31</f>
        <v>0</v>
      </c>
      <c r="I40" s="25" t="s">
        <v>111</v>
      </c>
      <c r="J40" s="25" t="s">
        <v>107</v>
      </c>
    </row>
    <row r="41" customFormat="false" ht="15" hidden="false" customHeight="false" outlineLevel="0" collapsed="false">
      <c r="A41" s="25" t="s">
        <v>112</v>
      </c>
      <c r="B41" s="25" t="s">
        <v>105</v>
      </c>
      <c r="C41" s="26" t="n">
        <v>2500</v>
      </c>
      <c r="D41" s="26"/>
      <c r="E41" s="26"/>
      <c r="F41" s="26"/>
      <c r="G41" s="26" t="n">
        <f aca="false">(C41+D41)/Master!$B$31</f>
        <v>25</v>
      </c>
      <c r="H41" s="26" t="n">
        <f aca="false">(E41+F41)/Master!$B$31</f>
        <v>0</v>
      </c>
      <c r="I41" s="25" t="s">
        <v>113</v>
      </c>
      <c r="J41" s="25" t="s">
        <v>107</v>
      </c>
    </row>
    <row r="42" customFormat="false" ht="15" hidden="false" customHeight="false" outlineLevel="0" collapsed="false">
      <c r="A42" s="25" t="s">
        <v>114</v>
      </c>
      <c r="B42" s="25" t="s">
        <v>105</v>
      </c>
      <c r="C42" s="26" t="n">
        <v>15000</v>
      </c>
      <c r="D42" s="26"/>
      <c r="E42" s="26"/>
      <c r="F42" s="26"/>
      <c r="G42" s="26" t="n">
        <f aca="false">(C42+D42)/Master!$B$31</f>
        <v>150</v>
      </c>
      <c r="H42" s="26" t="n">
        <f aca="false">(E42+F42)/Master!$B$31</f>
        <v>0</v>
      </c>
      <c r="I42" s="25" t="s">
        <v>115</v>
      </c>
      <c r="J42" s="25" t="s">
        <v>107</v>
      </c>
    </row>
    <row r="43" customFormat="false" ht="15" hidden="false" customHeight="false" outlineLevel="0" collapsed="false">
      <c r="A43" s="25" t="s">
        <v>116</v>
      </c>
      <c r="B43" s="25" t="s">
        <v>117</v>
      </c>
      <c r="C43" s="26" t="n">
        <v>20754.2</v>
      </c>
      <c r="D43" s="26"/>
      <c r="E43" s="26"/>
      <c r="F43" s="26"/>
      <c r="G43" s="26" t="n">
        <f aca="false">(C43+D43)/Master!$B$31</f>
        <v>207.542</v>
      </c>
      <c r="H43" s="26" t="n">
        <f aca="false">(E43+F43)/Master!$B$31</f>
        <v>0</v>
      </c>
      <c r="I43" s="25" t="s">
        <v>118</v>
      </c>
      <c r="J43" s="25" t="s">
        <v>119</v>
      </c>
    </row>
    <row r="44" customFormat="false" ht="15" hidden="false" customHeight="false" outlineLevel="0" collapsed="false">
      <c r="A44" s="25" t="s">
        <v>120</v>
      </c>
      <c r="B44" s="25" t="s">
        <v>121</v>
      </c>
      <c r="C44" s="26"/>
      <c r="D44" s="26"/>
      <c r="E44" s="26" t="n">
        <v>12768.48</v>
      </c>
      <c r="F44" s="26"/>
      <c r="G44" s="26" t="n">
        <f aca="false">(C44+D44)/Master!$B$31</f>
        <v>0</v>
      </c>
      <c r="H44" s="26" t="n">
        <f aca="false">(E44+F44)/Master!$B$31</f>
        <v>127.6848</v>
      </c>
      <c r="I44" s="25" t="s">
        <v>122</v>
      </c>
      <c r="J44" s="25" t="s">
        <v>119</v>
      </c>
    </row>
    <row r="45" customFormat="false" ht="15" hidden="false" customHeight="false" outlineLevel="0" collapsed="false">
      <c r="A45" s="25" t="s">
        <v>123</v>
      </c>
      <c r="B45" s="25" t="s">
        <v>121</v>
      </c>
      <c r="C45" s="26"/>
      <c r="D45" s="26" t="n">
        <v>2593.05</v>
      </c>
      <c r="E45" s="26"/>
      <c r="F45" s="26"/>
      <c r="G45" s="26" t="n">
        <f aca="false">(C45+D45)/Master!$B$31</f>
        <v>25.9305</v>
      </c>
      <c r="H45" s="26" t="n">
        <f aca="false">(E45+F45)/Master!$B$31</f>
        <v>0</v>
      </c>
      <c r="I45" s="25" t="s">
        <v>124</v>
      </c>
      <c r="J45" s="25" t="s">
        <v>70</v>
      </c>
    </row>
    <row r="46" customFormat="false" ht="15" hidden="false" customHeight="false" outlineLevel="0" collapsed="false">
      <c r="A46" s="25" t="s">
        <v>125</v>
      </c>
      <c r="B46" s="25" t="s">
        <v>126</v>
      </c>
      <c r="C46" s="26"/>
      <c r="D46" s="26" t="n">
        <v>1059363.54</v>
      </c>
      <c r="E46" s="26"/>
      <c r="F46" s="26"/>
      <c r="G46" s="26" t="n">
        <f aca="false">(C46+D46)/Master!$B$31</f>
        <v>10593.6354</v>
      </c>
      <c r="H46" s="26" t="n">
        <f aca="false">(E46+F46)/Master!$B$31</f>
        <v>0</v>
      </c>
      <c r="I46" s="25" t="s">
        <v>125</v>
      </c>
      <c r="J46" s="25" t="s">
        <v>127</v>
      </c>
    </row>
    <row r="47" customFormat="false" ht="15" hidden="false" customHeight="false" outlineLevel="0" collapsed="false">
      <c r="A47" s="25" t="s">
        <v>128</v>
      </c>
      <c r="B47" s="25" t="s">
        <v>129</v>
      </c>
      <c r="C47" s="26" t="n">
        <v>17510</v>
      </c>
      <c r="D47" s="26"/>
      <c r="E47" s="26"/>
      <c r="F47" s="26"/>
      <c r="G47" s="26" t="n">
        <f aca="false">(C47+D47)/Master!$B$31</f>
        <v>175.1</v>
      </c>
      <c r="H47" s="26" t="n">
        <f aca="false">(E47+F47)/Master!$B$31</f>
        <v>0</v>
      </c>
      <c r="I47" s="25" t="s">
        <v>128</v>
      </c>
      <c r="J47" s="25" t="s">
        <v>130</v>
      </c>
    </row>
    <row r="48" customFormat="false" ht="15" hidden="false" customHeight="false" outlineLevel="0" collapsed="false">
      <c r="A48" s="25" t="s">
        <v>131</v>
      </c>
      <c r="B48" s="25" t="s">
        <v>129</v>
      </c>
      <c r="C48" s="26" t="n">
        <v>410685.35</v>
      </c>
      <c r="D48" s="26"/>
      <c r="E48" s="26"/>
      <c r="F48" s="26"/>
      <c r="G48" s="26" t="n">
        <f aca="false">(C48+D48)/Master!$B$31</f>
        <v>4106.8535</v>
      </c>
      <c r="H48" s="26" t="n">
        <f aca="false">(E48+F48)/Master!$B$31</f>
        <v>0</v>
      </c>
      <c r="I48" s="25" t="s">
        <v>131</v>
      </c>
      <c r="J48" s="25" t="s">
        <v>130</v>
      </c>
    </row>
    <row r="49" customFormat="false" ht="15" hidden="false" customHeight="false" outlineLevel="0" collapsed="false">
      <c r="A49" s="25" t="s">
        <v>132</v>
      </c>
      <c r="B49" s="25" t="s">
        <v>129</v>
      </c>
      <c r="C49" s="26" t="n">
        <v>880.63</v>
      </c>
      <c r="D49" s="26"/>
      <c r="E49" s="26" t="n">
        <v>311.52</v>
      </c>
      <c r="F49" s="26"/>
      <c r="G49" s="26" t="n">
        <f aca="false">(C49+D49)/Master!$B$31</f>
        <v>8.8063</v>
      </c>
      <c r="H49" s="26" t="n">
        <f aca="false">(E49+F49)/Master!$B$31</f>
        <v>3.1152</v>
      </c>
      <c r="I49" s="25" t="s">
        <v>132</v>
      </c>
      <c r="J49" s="25" t="s">
        <v>130</v>
      </c>
    </row>
    <row r="50" customFormat="false" ht="15" hidden="false" customHeight="false" outlineLevel="0" collapsed="false">
      <c r="A50" s="25" t="s">
        <v>133</v>
      </c>
      <c r="B50" s="25" t="s">
        <v>129</v>
      </c>
      <c r="C50" s="26" t="n">
        <v>19100</v>
      </c>
      <c r="D50" s="26"/>
      <c r="E50" s="26"/>
      <c r="F50" s="26"/>
      <c r="G50" s="26" t="n">
        <f aca="false">(C50+D50)/Master!$B$31</f>
        <v>191</v>
      </c>
      <c r="H50" s="26" t="n">
        <f aca="false">(E50+F50)/Master!$B$31</f>
        <v>0</v>
      </c>
      <c r="I50" s="25" t="s">
        <v>133</v>
      </c>
      <c r="J50" s="25" t="s">
        <v>130</v>
      </c>
    </row>
    <row r="51" customFormat="false" ht="15" hidden="false" customHeight="false" outlineLevel="0" collapsed="false">
      <c r="A51" s="25" t="s">
        <v>134</v>
      </c>
      <c r="B51" s="25" t="s">
        <v>129</v>
      </c>
      <c r="C51" s="26" t="n">
        <v>25373</v>
      </c>
      <c r="D51" s="26"/>
      <c r="E51" s="26"/>
      <c r="F51" s="26"/>
      <c r="G51" s="26" t="n">
        <f aca="false">(C51+D51)/Master!$B$31</f>
        <v>253.73</v>
      </c>
      <c r="H51" s="26" t="n">
        <f aca="false">(E51+F51)/Master!$B$31</f>
        <v>0</v>
      </c>
      <c r="I51" s="25" t="s">
        <v>134</v>
      </c>
      <c r="J51" s="25" t="s">
        <v>130</v>
      </c>
    </row>
    <row r="52" customFormat="false" ht="15" hidden="false" customHeight="false" outlineLevel="0" collapsed="false">
      <c r="A52" s="25" t="s">
        <v>135</v>
      </c>
      <c r="B52" s="25" t="s">
        <v>129</v>
      </c>
      <c r="C52" s="26" t="n">
        <v>26223.64</v>
      </c>
      <c r="D52" s="26"/>
      <c r="E52" s="26"/>
      <c r="F52" s="26"/>
      <c r="G52" s="26" t="n">
        <f aca="false">(C52+D52)/Master!$B$31</f>
        <v>262.2364</v>
      </c>
      <c r="H52" s="26" t="n">
        <f aca="false">(E52+F52)/Master!$B$31</f>
        <v>0</v>
      </c>
      <c r="I52" s="25" t="s">
        <v>135</v>
      </c>
      <c r="J52" s="25" t="s">
        <v>130</v>
      </c>
    </row>
    <row r="53" customFormat="false" ht="15" hidden="false" customHeight="false" outlineLevel="0" collapsed="false">
      <c r="A53" s="25" t="s">
        <v>136</v>
      </c>
      <c r="B53" s="25" t="s">
        <v>129</v>
      </c>
      <c r="C53" s="26" t="n">
        <v>70000</v>
      </c>
      <c r="D53" s="26"/>
      <c r="E53" s="26"/>
      <c r="F53" s="26"/>
      <c r="G53" s="26" t="n">
        <f aca="false">(C53+D53)/Master!$B$31</f>
        <v>700</v>
      </c>
      <c r="H53" s="26" t="n">
        <f aca="false">(E53+F53)/Master!$B$31</f>
        <v>0</v>
      </c>
      <c r="I53" s="25" t="s">
        <v>136</v>
      </c>
      <c r="J53" s="25" t="s">
        <v>130</v>
      </c>
    </row>
    <row r="54" customFormat="false" ht="15" hidden="false" customHeight="false" outlineLevel="0" collapsed="false">
      <c r="A54" s="25" t="s">
        <v>137</v>
      </c>
      <c r="B54" s="25" t="s">
        <v>129</v>
      </c>
      <c r="C54" s="26"/>
      <c r="D54" s="26"/>
      <c r="E54" s="26" t="n">
        <v>2500</v>
      </c>
      <c r="F54" s="26"/>
      <c r="G54" s="26" t="n">
        <f aca="false">(C54+D54)/Master!$B$31</f>
        <v>0</v>
      </c>
      <c r="H54" s="26" t="n">
        <f aca="false">(E54+F54)/Master!$B$31</f>
        <v>25</v>
      </c>
      <c r="I54" s="25" t="s">
        <v>137</v>
      </c>
      <c r="J54" s="25" t="s">
        <v>130</v>
      </c>
    </row>
    <row r="55" customFormat="false" ht="15" hidden="false" customHeight="false" outlineLevel="0" collapsed="false">
      <c r="A55" s="25" t="s">
        <v>138</v>
      </c>
      <c r="B55" s="25" t="s">
        <v>129</v>
      </c>
      <c r="C55" s="26" t="n">
        <v>20</v>
      </c>
      <c r="D55" s="26"/>
      <c r="E55" s="26"/>
      <c r="F55" s="26"/>
      <c r="G55" s="26" t="n">
        <f aca="false">(C55+D55)/Master!$B$31</f>
        <v>0.2</v>
      </c>
      <c r="H55" s="26" t="n">
        <f aca="false">(E55+F55)/Master!$B$31</f>
        <v>0</v>
      </c>
      <c r="I55" s="25" t="s">
        <v>138</v>
      </c>
      <c r="J55" s="25" t="s">
        <v>130</v>
      </c>
    </row>
    <row r="56" customFormat="false" ht="15" hidden="false" customHeight="false" outlineLevel="0" collapsed="false">
      <c r="A56" s="25" t="s">
        <v>139</v>
      </c>
      <c r="B56" s="25" t="s">
        <v>129</v>
      </c>
      <c r="C56" s="26" t="n">
        <v>2164</v>
      </c>
      <c r="D56" s="26"/>
      <c r="E56" s="26" t="n">
        <v>780</v>
      </c>
      <c r="F56" s="26"/>
      <c r="G56" s="26" t="n">
        <f aca="false">(C56+D56)/Master!$B$31</f>
        <v>21.64</v>
      </c>
      <c r="H56" s="26" t="n">
        <f aca="false">(E56+F56)/Master!$B$31</f>
        <v>7.8</v>
      </c>
      <c r="I56" s="25" t="s">
        <v>139</v>
      </c>
      <c r="J56" s="25" t="s">
        <v>130</v>
      </c>
    </row>
    <row r="57" customFormat="false" ht="15" hidden="false" customHeight="false" outlineLevel="0" collapsed="false">
      <c r="A57" s="25" t="s">
        <v>140</v>
      </c>
      <c r="B57" s="25" t="s">
        <v>129</v>
      </c>
      <c r="C57" s="26" t="n">
        <v>12000</v>
      </c>
      <c r="D57" s="26"/>
      <c r="E57" s="26"/>
      <c r="F57" s="26"/>
      <c r="G57" s="26" t="n">
        <f aca="false">(C57+D57)/Master!$B$31</f>
        <v>120</v>
      </c>
      <c r="H57" s="26" t="n">
        <f aca="false">(E57+F57)/Master!$B$31</f>
        <v>0</v>
      </c>
      <c r="I57" s="25" t="s">
        <v>140</v>
      </c>
      <c r="J57" s="25" t="s">
        <v>130</v>
      </c>
    </row>
    <row r="58" customFormat="false" ht="15" hidden="false" customHeight="false" outlineLevel="0" collapsed="false">
      <c r="A58" s="25" t="s">
        <v>141</v>
      </c>
      <c r="B58" s="25" t="s">
        <v>129</v>
      </c>
      <c r="C58" s="26" t="n">
        <v>177417</v>
      </c>
      <c r="D58" s="26"/>
      <c r="E58" s="26"/>
      <c r="F58" s="26"/>
      <c r="G58" s="26" t="n">
        <f aca="false">(C58+D58)/Master!$B$31</f>
        <v>1774.17</v>
      </c>
      <c r="H58" s="26" t="n">
        <f aca="false">(E58+F58)/Master!$B$31</f>
        <v>0</v>
      </c>
      <c r="I58" s="25" t="s">
        <v>141</v>
      </c>
      <c r="J58" s="25" t="s">
        <v>130</v>
      </c>
    </row>
    <row r="59" customFormat="false" ht="15" hidden="false" customHeight="false" outlineLevel="0" collapsed="false">
      <c r="A59" s="25" t="s">
        <v>142</v>
      </c>
      <c r="B59" s="25" t="s">
        <v>129</v>
      </c>
      <c r="C59" s="26" t="n">
        <v>9871.95</v>
      </c>
      <c r="D59" s="26"/>
      <c r="E59" s="26"/>
      <c r="F59" s="26"/>
      <c r="G59" s="26" t="n">
        <f aca="false">(C59+D59)/Master!$B$31</f>
        <v>98.7195</v>
      </c>
      <c r="H59" s="26" t="n">
        <f aca="false">(E59+F59)/Master!$B$31</f>
        <v>0</v>
      </c>
      <c r="I59" s="25" t="s">
        <v>142</v>
      </c>
      <c r="J59" s="25" t="s">
        <v>130</v>
      </c>
    </row>
    <row r="60" customFormat="false" ht="15" hidden="false" customHeight="false" outlineLevel="0" collapsed="false">
      <c r="A60" s="25" t="s">
        <v>143</v>
      </c>
      <c r="B60" s="25" t="s">
        <v>129</v>
      </c>
      <c r="C60" s="26" t="n">
        <v>80518</v>
      </c>
      <c r="D60" s="26"/>
      <c r="E60" s="26"/>
      <c r="F60" s="26"/>
      <c r="G60" s="26" t="n">
        <f aca="false">(C60+D60)/Master!$B$31</f>
        <v>805.18</v>
      </c>
      <c r="H60" s="26" t="n">
        <f aca="false">(E60+F60)/Master!$B$31</f>
        <v>0</v>
      </c>
      <c r="I60" s="25" t="s">
        <v>143</v>
      </c>
      <c r="J60" s="25" t="s">
        <v>130</v>
      </c>
    </row>
    <row r="61" customFormat="false" ht="15" hidden="false" customHeight="false" outlineLevel="0" collapsed="false">
      <c r="A61" s="25" t="s">
        <v>144</v>
      </c>
      <c r="B61" s="25" t="s">
        <v>129</v>
      </c>
      <c r="C61" s="26" t="n">
        <v>2535.68</v>
      </c>
      <c r="D61" s="26"/>
      <c r="E61" s="26"/>
      <c r="F61" s="26"/>
      <c r="G61" s="26" t="n">
        <f aca="false">(C61+D61)/Master!$B$31</f>
        <v>25.3568</v>
      </c>
      <c r="H61" s="26" t="n">
        <f aca="false">(E61+F61)/Master!$B$31</f>
        <v>0</v>
      </c>
      <c r="I61" s="25" t="s">
        <v>144</v>
      </c>
      <c r="J61" s="25" t="s">
        <v>130</v>
      </c>
    </row>
    <row r="62" customFormat="false" ht="15" hidden="false" customHeight="false" outlineLevel="0" collapsed="false">
      <c r="A62" s="25" t="s">
        <v>145</v>
      </c>
      <c r="B62" s="25" t="s">
        <v>129</v>
      </c>
      <c r="C62" s="26" t="n">
        <v>24901.09</v>
      </c>
      <c r="D62" s="26"/>
      <c r="E62" s="26"/>
      <c r="F62" s="26"/>
      <c r="G62" s="26" t="n">
        <f aca="false">(C62+D62)/Master!$B$31</f>
        <v>249.0109</v>
      </c>
      <c r="H62" s="26" t="n">
        <f aca="false">(E62+F62)/Master!$B$31</f>
        <v>0</v>
      </c>
      <c r="I62" s="25" t="s">
        <v>145</v>
      </c>
      <c r="J62" s="25" t="s">
        <v>130</v>
      </c>
    </row>
    <row r="63" customFormat="false" ht="15" hidden="false" customHeight="false" outlineLevel="0" collapsed="false">
      <c r="A63" s="25" t="s">
        <v>146</v>
      </c>
      <c r="B63" s="25" t="s">
        <v>129</v>
      </c>
      <c r="C63" s="26" t="n">
        <v>959127.5</v>
      </c>
      <c r="D63" s="26"/>
      <c r="E63" s="26"/>
      <c r="F63" s="26"/>
      <c r="G63" s="26" t="n">
        <f aca="false">(C63+D63)/Master!$B$31</f>
        <v>9591.275</v>
      </c>
      <c r="H63" s="26" t="n">
        <f aca="false">(E63+F63)/Master!$B$31</f>
        <v>0</v>
      </c>
      <c r="I63" s="25" t="s">
        <v>146</v>
      </c>
      <c r="J63" s="25" t="s">
        <v>130</v>
      </c>
    </row>
    <row r="64" customFormat="false" ht="15" hidden="false" customHeight="false" outlineLevel="0" collapsed="false">
      <c r="A64" s="25" t="s">
        <v>147</v>
      </c>
      <c r="B64" s="25" t="s">
        <v>129</v>
      </c>
      <c r="C64" s="26" t="n">
        <v>24538</v>
      </c>
      <c r="D64" s="26"/>
      <c r="E64" s="26"/>
      <c r="F64" s="26"/>
      <c r="G64" s="26" t="n">
        <f aca="false">(C64+D64)/Master!$B$31</f>
        <v>245.38</v>
      </c>
      <c r="H64" s="26" t="n">
        <f aca="false">(E64+F64)/Master!$B$31</f>
        <v>0</v>
      </c>
      <c r="I64" s="25" t="s">
        <v>147</v>
      </c>
      <c r="J64" s="25" t="s">
        <v>130</v>
      </c>
    </row>
    <row r="65" customFormat="false" ht="15" hidden="false" customHeight="false" outlineLevel="0" collapsed="false">
      <c r="A65" s="25" t="s">
        <v>148</v>
      </c>
      <c r="B65" s="25" t="s">
        <v>129</v>
      </c>
      <c r="C65" s="26" t="n">
        <v>36000</v>
      </c>
      <c r="D65" s="26"/>
      <c r="E65" s="26" t="n">
        <v>479320</v>
      </c>
      <c r="F65" s="26"/>
      <c r="G65" s="26" t="n">
        <f aca="false">(C65+D65)/Master!$B$31</f>
        <v>360</v>
      </c>
      <c r="H65" s="26" t="n">
        <f aca="false">(E65+F65)/Master!$B$31</f>
        <v>4793.2</v>
      </c>
      <c r="I65" s="25" t="s">
        <v>148</v>
      </c>
      <c r="J65" s="25" t="s">
        <v>130</v>
      </c>
    </row>
    <row r="66" customFormat="false" ht="15" hidden="false" customHeight="false" outlineLevel="0" collapsed="false">
      <c r="A66" s="25" t="s">
        <v>149</v>
      </c>
      <c r="B66" s="25" t="s">
        <v>129</v>
      </c>
      <c r="C66" s="26" t="n">
        <v>43036</v>
      </c>
      <c r="D66" s="26"/>
      <c r="E66" s="26"/>
      <c r="F66" s="26"/>
      <c r="G66" s="26" t="n">
        <f aca="false">(C66+D66)/Master!$B$31</f>
        <v>430.36</v>
      </c>
      <c r="H66" s="26" t="n">
        <f aca="false">(E66+F66)/Master!$B$31</f>
        <v>0</v>
      </c>
      <c r="I66" s="25" t="s">
        <v>149</v>
      </c>
      <c r="J66" s="25" t="s">
        <v>130</v>
      </c>
    </row>
    <row r="67" customFormat="false" ht="15" hidden="false" customHeight="false" outlineLevel="0" collapsed="false">
      <c r="A67" s="25" t="s">
        <v>150</v>
      </c>
      <c r="B67" s="25" t="s">
        <v>129</v>
      </c>
      <c r="C67" s="26" t="n">
        <v>1008252</v>
      </c>
      <c r="D67" s="26"/>
      <c r="E67" s="26" t="n">
        <v>450000</v>
      </c>
      <c r="F67" s="26"/>
      <c r="G67" s="26" t="n">
        <f aca="false">(C67+D67)/Master!$B$31</f>
        <v>10082.52</v>
      </c>
      <c r="H67" s="26" t="n">
        <f aca="false">(E67+F67)/Master!$B$31</f>
        <v>4500</v>
      </c>
      <c r="I67" s="25" t="s">
        <v>150</v>
      </c>
      <c r="J67" s="25" t="s">
        <v>130</v>
      </c>
    </row>
    <row r="68" customFormat="false" ht="15" hidden="false" customHeight="false" outlineLevel="0" collapsed="false">
      <c r="A68" s="25" t="s">
        <v>151</v>
      </c>
      <c r="B68" s="25" t="s">
        <v>129</v>
      </c>
      <c r="C68" s="26"/>
      <c r="D68" s="26"/>
      <c r="E68" s="26" t="n">
        <v>35000</v>
      </c>
      <c r="F68" s="26"/>
      <c r="G68" s="26" t="n">
        <f aca="false">(C68+D68)/Master!$B$31</f>
        <v>0</v>
      </c>
      <c r="H68" s="26" t="n">
        <f aca="false">(E68+F68)/Master!$B$31</f>
        <v>350</v>
      </c>
      <c r="I68" s="25" t="s">
        <v>151</v>
      </c>
      <c r="J68" s="25" t="s">
        <v>130</v>
      </c>
    </row>
    <row r="69" customFormat="false" ht="15" hidden="false" customHeight="false" outlineLevel="0" collapsed="false">
      <c r="A69" s="25" t="s">
        <v>152</v>
      </c>
      <c r="B69" s="25" t="s">
        <v>129</v>
      </c>
      <c r="C69" s="26" t="n">
        <v>0.04</v>
      </c>
      <c r="D69" s="26"/>
      <c r="E69" s="26"/>
      <c r="F69" s="26"/>
      <c r="G69" s="26" t="n">
        <f aca="false">(C69+D69)/Master!$B$31</f>
        <v>0.0004</v>
      </c>
      <c r="H69" s="26" t="n">
        <f aca="false">(E69+F69)/Master!$B$31</f>
        <v>0</v>
      </c>
      <c r="I69" s="25" t="s">
        <v>152</v>
      </c>
      <c r="J69" s="25" t="s">
        <v>130</v>
      </c>
    </row>
    <row r="70" customFormat="false" ht="15" hidden="false" customHeight="false" outlineLevel="0" collapsed="false">
      <c r="A70" s="25" t="s">
        <v>153</v>
      </c>
      <c r="B70" s="25" t="s">
        <v>129</v>
      </c>
      <c r="C70" s="26" t="n">
        <v>7681</v>
      </c>
      <c r="D70" s="26"/>
      <c r="E70" s="26"/>
      <c r="F70" s="26"/>
      <c r="G70" s="26" t="n">
        <f aca="false">(C70+D70)/Master!$B$31</f>
        <v>76.81</v>
      </c>
      <c r="H70" s="26" t="n">
        <f aca="false">(E70+F70)/Master!$B$31</f>
        <v>0</v>
      </c>
      <c r="I70" s="25" t="s">
        <v>153</v>
      </c>
      <c r="J70" s="25" t="s">
        <v>130</v>
      </c>
    </row>
    <row r="71" customFormat="false" ht="15" hidden="false" customHeight="false" outlineLevel="0" collapsed="false">
      <c r="A71" s="25" t="s">
        <v>154</v>
      </c>
      <c r="B71" s="25" t="s">
        <v>129</v>
      </c>
      <c r="C71" s="26" t="n">
        <v>24000</v>
      </c>
      <c r="D71" s="26"/>
      <c r="E71" s="26" t="n">
        <v>28000</v>
      </c>
      <c r="F71" s="26"/>
      <c r="G71" s="26" t="n">
        <f aca="false">(C71+D71)/Master!$B$31</f>
        <v>240</v>
      </c>
      <c r="H71" s="26" t="n">
        <f aca="false">(E71+F71)/Master!$B$31</f>
        <v>280</v>
      </c>
      <c r="I71" s="25" t="s">
        <v>154</v>
      </c>
      <c r="J71" s="25" t="s">
        <v>130</v>
      </c>
    </row>
    <row r="72" customFormat="false" ht="15" hidden="false" customHeight="false" outlineLevel="0" collapsed="false">
      <c r="A72" s="25" t="s">
        <v>155</v>
      </c>
      <c r="B72" s="25" t="s">
        <v>129</v>
      </c>
      <c r="C72" s="26" t="n">
        <v>15000</v>
      </c>
      <c r="D72" s="26"/>
      <c r="E72" s="26"/>
      <c r="F72" s="26"/>
      <c r="G72" s="26" t="n">
        <f aca="false">(C72+D72)/Master!$B$31</f>
        <v>150</v>
      </c>
      <c r="H72" s="26" t="n">
        <f aca="false">(E72+F72)/Master!$B$31</f>
        <v>0</v>
      </c>
      <c r="I72" s="25" t="s">
        <v>155</v>
      </c>
      <c r="J72" s="25" t="s">
        <v>130</v>
      </c>
    </row>
    <row r="73" customFormat="false" ht="15" hidden="false" customHeight="false" outlineLevel="0" collapsed="false">
      <c r="A73" s="25" t="s">
        <v>156</v>
      </c>
      <c r="B73" s="25" t="s">
        <v>129</v>
      </c>
      <c r="C73" s="26" t="n">
        <v>52760</v>
      </c>
      <c r="D73" s="26"/>
      <c r="E73" s="26"/>
      <c r="F73" s="26"/>
      <c r="G73" s="26" t="n">
        <f aca="false">(C73+D73)/Master!$B$31</f>
        <v>527.6</v>
      </c>
      <c r="H73" s="26" t="n">
        <f aca="false">(E73+F73)/Master!$B$31</f>
        <v>0</v>
      </c>
      <c r="I73" s="25" t="s">
        <v>156</v>
      </c>
      <c r="J73" s="25" t="s">
        <v>130</v>
      </c>
    </row>
    <row r="74" customFormat="false" ht="15" hidden="false" customHeight="false" outlineLevel="0" collapsed="false">
      <c r="A74" s="25" t="s">
        <v>157</v>
      </c>
      <c r="B74" s="25" t="s">
        <v>129</v>
      </c>
      <c r="C74" s="26" t="n">
        <v>10000</v>
      </c>
      <c r="D74" s="26"/>
      <c r="E74" s="26" t="n">
        <v>125000</v>
      </c>
      <c r="F74" s="26"/>
      <c r="G74" s="26" t="n">
        <f aca="false">(C74+D74)/Master!$B$31</f>
        <v>100</v>
      </c>
      <c r="H74" s="26" t="n">
        <f aca="false">(E74+F74)/Master!$B$31</f>
        <v>1250</v>
      </c>
      <c r="I74" s="25" t="s">
        <v>157</v>
      </c>
      <c r="J74" s="25" t="s">
        <v>130</v>
      </c>
    </row>
    <row r="75" customFormat="false" ht="15" hidden="false" customHeight="false" outlineLevel="0" collapsed="false">
      <c r="A75" s="25" t="s">
        <v>158</v>
      </c>
      <c r="B75" s="25" t="s">
        <v>159</v>
      </c>
      <c r="C75" s="26" t="n">
        <v>1120911.52</v>
      </c>
      <c r="D75" s="26"/>
      <c r="E75" s="26"/>
      <c r="F75" s="26"/>
      <c r="G75" s="26" t="n">
        <f aca="false">(C75+D75)/Master!$B$31</f>
        <v>11209.1152</v>
      </c>
      <c r="H75" s="26" t="n">
        <f aca="false">(E75+F75)/Master!$B$31</f>
        <v>0</v>
      </c>
      <c r="I75" s="25" t="s">
        <v>160</v>
      </c>
      <c r="J75" s="25" t="s">
        <v>161</v>
      </c>
    </row>
    <row r="77" customFormat="false" ht="15" hidden="false" customHeight="false" outlineLevel="0" collapsed="false">
      <c r="A77" s="17" t="s">
        <v>162</v>
      </c>
      <c r="C77" s="27" t="n">
        <v>4380402.48</v>
      </c>
      <c r="D77" s="27" t="n">
        <v>4380402.48</v>
      </c>
      <c r="E77" s="27" t="n">
        <v>1133680</v>
      </c>
      <c r="F77" s="27" t="n">
        <v>1133680</v>
      </c>
    </row>
    <row r="78" customFormat="false" ht="15" hidden="false" customHeight="false" outlineLevel="0" collapsed="false">
      <c r="A78" s="17" t="s">
        <v>163</v>
      </c>
      <c r="C78" s="20" t="n">
        <f aca="false">C4-C77</f>
        <v>0</v>
      </c>
      <c r="D78" s="20" t="n">
        <f aca="false">D4-D77</f>
        <v>0</v>
      </c>
      <c r="E78" s="20" t="n">
        <f aca="false">E4-E77</f>
        <v>0</v>
      </c>
      <c r="F78" s="20" t="n">
        <f aca="false">F4-F77</f>
        <v>0</v>
      </c>
    </row>
    <row r="79" customFormat="false" ht="15" hidden="false" customHeight="false" outlineLevel="0" collapsed="false">
      <c r="A79" s="17" t="s">
        <v>164</v>
      </c>
      <c r="C79" s="20" t="n">
        <f aca="false">C4-D4</f>
        <v>0</v>
      </c>
      <c r="E79" s="20" t="n">
        <f aca="false">E4-F4</f>
        <v>0</v>
      </c>
    </row>
  </sheetData>
  <mergeCells count="3">
    <mergeCell ref="C5:D5"/>
    <mergeCell ref="E5:F5"/>
    <mergeCell ref="G5:H5"/>
  </mergeCells>
  <printOptions headings="false" gridLines="false" gridLinesSet="true" horizontalCentered="false" verticalCentered="false"/>
  <pageMargins left="0.39375" right="0.39375" top="0.39375" bottom="0.3937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4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50"/>
    <col collapsed="false" customWidth="true" hidden="false" outlineLevel="0" max="2" min="2" style="0" width="32"/>
    <col collapsed="false" customWidth="true" hidden="false" outlineLevel="0" max="3" min="3" style="0" width="6.4"/>
    <col collapsed="false" customWidth="true" hidden="false" outlineLevel="0" max="5" min="4" style="0" width="20"/>
    <col collapsed="false" customWidth="true" hidden="false" outlineLevel="0" max="6" min="6" style="0" width="4"/>
    <col collapsed="false" customWidth="true" hidden="false" outlineLevel="0" max="7" min="7" style="0" width="30"/>
  </cols>
  <sheetData>
    <row r="1" customFormat="false" ht="15" hidden="false" customHeight="false" outlineLevel="0" collapsed="false">
      <c r="A1" s="18" t="str">
        <f aca="false">UPPER(Master!B2)</f>
        <v>DAIVBHARATHI TECHNOLOGIES LLP</v>
      </c>
    </row>
    <row r="2" customFormat="false" ht="15" hidden="false" customHeight="false" outlineLevel="0" collapsed="false">
      <c r="A2" s="18" t="str">
        <f aca="false">"LLPIN: "&amp;UPPER(Master!B4)</f>
        <v>LLPIN: [TO BE PROVIDED]</v>
      </c>
    </row>
    <row r="3" customFormat="false" ht="33.75" hidden="false" customHeight="true" outlineLevel="0" collapsed="false">
      <c r="A3" s="28" t="str">
        <f aca="false">Master!B3</f>
        <v>No 63, 1st Floor, 1st Main, 7th Block, Koramangala VI Block, Bangalore 560095</v>
      </c>
    </row>
    <row r="4" customFormat="false" ht="15" hidden="false" customHeight="false" outlineLevel="0" collapsed="false">
      <c r="A4" s="18" t="str">
        <f aca="false">"BALANCE SHEET AS AT "&amp;Master!B33</f>
        <v>BALANCE SHEET AS AT MARCH 31, 2026</v>
      </c>
    </row>
    <row r="5" customFormat="false" ht="15" hidden="false" customHeight="true" outlineLevel="0" collapsed="false">
      <c r="E5" s="1" t="str">
        <f aca="false">Master!B32</f>
        <v>(Amount in ₹ '00)</v>
      </c>
    </row>
    <row r="6" customFormat="false" ht="17.25" hidden="false" customHeight="true" outlineLevel="0" collapsed="false">
      <c r="A6" s="29" t="s">
        <v>165</v>
      </c>
      <c r="B6" s="29"/>
      <c r="C6" s="29" t="s">
        <v>166</v>
      </c>
      <c r="D6" s="30" t="str">
        <f aca="false">Master!B33</f>
        <v>MARCH 31, 2026</v>
      </c>
      <c r="E6" s="30" t="str">
        <f aca="false">Master!B34</f>
        <v>MARCH 31, 2025</v>
      </c>
      <c r="G6" s="31" t="s">
        <v>167</v>
      </c>
    </row>
    <row r="7" customFormat="false" ht="16.5" hidden="false" customHeight="true" outlineLevel="0" collapsed="false">
      <c r="A7" s="32" t="s">
        <v>168</v>
      </c>
      <c r="B7" s="33"/>
      <c r="C7" s="33"/>
      <c r="D7" s="34"/>
      <c r="E7" s="34"/>
      <c r="G7" s="35" t="str">
        <f aca="false">"Total Liabilities less Total Assets (CY): "&amp;TEXT(D19-D31,"#,##0.00")</f>
        <v>Total Liabilities less Total Assets (CY): 0.00</v>
      </c>
    </row>
    <row r="8" customFormat="false" ht="16.5" hidden="false" customHeight="true" outlineLevel="0" collapsed="false">
      <c r="A8" s="36" t="s">
        <v>169</v>
      </c>
      <c r="D8" s="37"/>
      <c r="E8" s="37"/>
      <c r="G8" s="35" t="str">
        <f aca="false">"Total Liabilities less Total Assets (PY): "&amp;TEXT(E19-E31,"#,##0.00")</f>
        <v>Total Liabilities less Total Assets (PY): 0.00</v>
      </c>
    </row>
    <row r="9" customFormat="false" ht="16.5" hidden="false" customHeight="true" outlineLevel="0" collapsed="false">
      <c r="A9" s="38" t="s">
        <v>170</v>
      </c>
      <c r="C9" s="39" t="s">
        <v>171</v>
      </c>
      <c r="D9" s="40" t="n">
        <f aca="false">'2.1'!D13</f>
        <v>900</v>
      </c>
      <c r="E9" s="40" t="n">
        <f aca="false">'2.1'!E13</f>
        <v>900</v>
      </c>
    </row>
    <row r="10" customFormat="false" ht="16.5" hidden="false" customHeight="true" outlineLevel="0" collapsed="false">
      <c r="A10" s="38" t="s">
        <v>172</v>
      </c>
      <c r="C10" s="39" t="s">
        <v>173</v>
      </c>
      <c r="D10" s="40" t="n">
        <f aca="false">'2.2 - 2.10'!D15</f>
        <v>-31211.4286</v>
      </c>
      <c r="E10" s="40" t="n">
        <f aca="false">'2.2 - 2.10'!E15</f>
        <v>-11209.1152</v>
      </c>
    </row>
    <row r="11" customFormat="false" ht="16.5" hidden="false" customHeight="true" outlineLevel="0" collapsed="false">
      <c r="A11" s="41" t="s">
        <v>174</v>
      </c>
      <c r="D11" s="42" t="n">
        <f aca="false">SUM(D9:D10)</f>
        <v>-30311.4286</v>
      </c>
      <c r="E11" s="42" t="n">
        <f aca="false">SUM(E9:E10)</f>
        <v>-10309.1152</v>
      </c>
    </row>
    <row r="12" customFormat="false" ht="16.5" hidden="false" customHeight="true" outlineLevel="0" collapsed="false">
      <c r="A12" s="36" t="s">
        <v>175</v>
      </c>
      <c r="D12" s="37"/>
      <c r="E12" s="37"/>
    </row>
    <row r="13" customFormat="false" ht="16.5" hidden="false" customHeight="true" outlineLevel="0" collapsed="false">
      <c r="A13" s="38" t="s">
        <v>176</v>
      </c>
      <c r="C13" s="39" t="s">
        <v>177</v>
      </c>
      <c r="D13" s="43" t="n">
        <f aca="false">'2.2 - 2.10'!D22</f>
        <v>26508.6</v>
      </c>
      <c r="E13" s="43" t="n">
        <f aca="false">'2.2 - 2.10'!E22</f>
        <v>7806.8</v>
      </c>
    </row>
    <row r="14" customFormat="false" ht="16.5" hidden="false" customHeight="true" outlineLevel="0" collapsed="false">
      <c r="A14" s="41" t="s">
        <v>178</v>
      </c>
      <c r="D14" s="42" t="n">
        <f aca="false">SUM(D13:D13)</f>
        <v>26508.6</v>
      </c>
      <c r="E14" s="42" t="n">
        <f aca="false">SUM(E13:E13)</f>
        <v>7806.8</v>
      </c>
    </row>
    <row r="15" customFormat="false" ht="16.5" hidden="false" customHeight="true" outlineLevel="0" collapsed="false">
      <c r="A15" s="36" t="s">
        <v>179</v>
      </c>
      <c r="D15" s="37"/>
      <c r="E15" s="37"/>
    </row>
    <row r="16" customFormat="false" ht="16.5" hidden="false" customHeight="true" outlineLevel="0" collapsed="false">
      <c r="A16" s="38" t="s">
        <v>180</v>
      </c>
      <c r="C16" s="39" t="s">
        <v>181</v>
      </c>
      <c r="D16" s="40" t="n">
        <f aca="false">'2.2 - 2.10'!D30</f>
        <v>5483.2048</v>
      </c>
      <c r="E16" s="40" t="n">
        <f aca="false">'2.2 - 2.10'!E30</f>
        <v>2280</v>
      </c>
    </row>
    <row r="17" customFormat="false" ht="16.5" hidden="false" customHeight="true" outlineLevel="0" collapsed="false">
      <c r="A17" s="38" t="s">
        <v>182</v>
      </c>
      <c r="C17" s="39" t="s">
        <v>183</v>
      </c>
      <c r="D17" s="43" t="n">
        <f aca="false">'2.2 - 2.10'!D39</f>
        <v>318.5846</v>
      </c>
      <c r="E17" s="43" t="n">
        <f aca="false">'2.2 - 2.10'!E39</f>
        <v>350</v>
      </c>
    </row>
    <row r="18" customFormat="false" ht="16.5" hidden="false" customHeight="true" outlineLevel="0" collapsed="false">
      <c r="A18" s="41" t="s">
        <v>184</v>
      </c>
      <c r="D18" s="44" t="n">
        <f aca="false">SUM(D16:D17)</f>
        <v>5801.7894</v>
      </c>
      <c r="E18" s="44" t="n">
        <f aca="false">SUM(E16:E17)</f>
        <v>2630</v>
      </c>
    </row>
    <row r="19" customFormat="false" ht="16.5" hidden="false" customHeight="true" outlineLevel="0" collapsed="false">
      <c r="A19" s="45" t="s">
        <v>185</v>
      </c>
      <c r="B19" s="46"/>
      <c r="C19" s="46"/>
      <c r="D19" s="47" t="n">
        <f aca="false">D11+D14+D18</f>
        <v>1998.9608</v>
      </c>
      <c r="E19" s="47" t="n">
        <f aca="false">E11+E14+E18</f>
        <v>127.6848</v>
      </c>
    </row>
    <row r="20" customFormat="false" ht="4.5" hidden="false" customHeight="true" outlineLevel="0" collapsed="false"/>
    <row r="21" customFormat="false" ht="16.5" hidden="false" customHeight="true" outlineLevel="0" collapsed="false">
      <c r="A21" s="36" t="s">
        <v>186</v>
      </c>
      <c r="D21" s="37"/>
      <c r="E21" s="37"/>
    </row>
    <row r="22" customFormat="false" ht="16.5" hidden="false" customHeight="true" outlineLevel="0" collapsed="false">
      <c r="A22" s="36" t="s">
        <v>187</v>
      </c>
      <c r="D22" s="37"/>
      <c r="E22" s="37"/>
    </row>
    <row r="23" customFormat="false" ht="16.5" hidden="false" customHeight="true" outlineLevel="0" collapsed="false">
      <c r="A23" s="38" t="s">
        <v>188</v>
      </c>
      <c r="D23" s="40"/>
      <c r="E23" s="40"/>
    </row>
    <row r="24" customFormat="false" ht="16.5" hidden="false" customHeight="true" outlineLevel="0" collapsed="false">
      <c r="A24" s="41" t="s">
        <v>189</v>
      </c>
      <c r="D24" s="40" t="n">
        <v>0</v>
      </c>
      <c r="E24" s="40" t="n">
        <v>0</v>
      </c>
    </row>
    <row r="25" customFormat="false" ht="16.5" hidden="false" customHeight="true" outlineLevel="0" collapsed="false">
      <c r="A25" s="41" t="str">
        <f aca="false">"Total "&amp;A22</f>
        <v>Total Non-current assets</v>
      </c>
      <c r="D25" s="42" t="n">
        <f aca="false">SUM(D24:D24)</f>
        <v>0</v>
      </c>
      <c r="E25" s="42" t="n">
        <f aca="false">SUM(E24:E24)</f>
        <v>0</v>
      </c>
    </row>
    <row r="26" customFormat="false" ht="16.5" hidden="false" customHeight="true" outlineLevel="0" collapsed="false">
      <c r="A26" s="36" t="s">
        <v>190</v>
      </c>
      <c r="D26" s="37"/>
      <c r="E26" s="37"/>
    </row>
    <row r="27" customFormat="false" ht="16.5" hidden="false" customHeight="true" outlineLevel="0" collapsed="false">
      <c r="A27" s="38" t="s">
        <v>191</v>
      </c>
      <c r="C27" s="39" t="s">
        <v>192</v>
      </c>
      <c r="D27" s="40" t="n">
        <f aca="false">'2.2 - 2.10'!D45</f>
        <v>207.542</v>
      </c>
      <c r="E27" s="40" t="n">
        <f aca="false">'2.2 - 2.10'!E45</f>
        <v>127.6848</v>
      </c>
    </row>
    <row r="28" customFormat="false" ht="16.5" hidden="false" customHeight="true" outlineLevel="0" collapsed="false">
      <c r="A28" s="38" t="s">
        <v>193</v>
      </c>
      <c r="C28" s="39" t="s">
        <v>194</v>
      </c>
      <c r="D28" s="40" t="n">
        <f aca="false">'2.2 - 2.10'!D55</f>
        <v>1735</v>
      </c>
      <c r="E28" s="40" t="n">
        <f aca="false">'2.2 - 2.10'!E55</f>
        <v>0</v>
      </c>
    </row>
    <row r="29" customFormat="false" ht="16.5" hidden="false" customHeight="true" outlineLevel="0" collapsed="false">
      <c r="A29" s="38" t="s">
        <v>195</v>
      </c>
      <c r="C29" s="39" t="s">
        <v>196</v>
      </c>
      <c r="D29" s="40" t="n">
        <f aca="false">'2.2 - 2.10'!D62</f>
        <v>56.4188</v>
      </c>
      <c r="E29" s="40" t="n">
        <f aca="false">'2.2 - 2.10'!E62</f>
        <v>0</v>
      </c>
    </row>
    <row r="30" customFormat="false" ht="16.5" hidden="false" customHeight="true" outlineLevel="0" collapsed="false">
      <c r="A30" s="41" t="str">
        <f aca="false">"Total "&amp;A26</f>
        <v>Total Current assets</v>
      </c>
      <c r="D30" s="44" t="n">
        <f aca="false">SUM(D27:D29)</f>
        <v>1998.9608</v>
      </c>
      <c r="E30" s="44" t="n">
        <f aca="false">SUM(E27:E29)</f>
        <v>127.6848</v>
      </c>
    </row>
    <row r="31" customFormat="false" ht="16.5" hidden="false" customHeight="true" outlineLevel="0" collapsed="false">
      <c r="A31" s="45" t="str">
        <f aca="false">UPPER("Total "&amp;A21)</f>
        <v>TOTAL ASSETS</v>
      </c>
      <c r="B31" s="46"/>
      <c r="C31" s="46"/>
      <c r="D31" s="48" t="n">
        <f aca="false">D25+D30</f>
        <v>1998.9608</v>
      </c>
      <c r="E31" s="48" t="n">
        <f aca="false">E25+E30</f>
        <v>127.6848</v>
      </c>
    </row>
    <row r="32" customFormat="false" ht="4.5" hidden="false" customHeight="true" outlineLevel="0" collapsed="false"/>
    <row r="33" customFormat="false" ht="30" hidden="false" customHeight="true" outlineLevel="0" collapsed="false">
      <c r="A33" s="49" t="s">
        <v>197</v>
      </c>
      <c r="C33" s="50" t="s">
        <v>198</v>
      </c>
    </row>
    <row r="35" customFormat="false" ht="15" hidden="false" customHeight="false" outlineLevel="0" collapsed="false">
      <c r="A35" s="51" t="s">
        <v>199</v>
      </c>
      <c r="B35" s="52" t="s">
        <v>200</v>
      </c>
    </row>
    <row r="36" customFormat="false" ht="15" hidden="false" customHeight="false" outlineLevel="0" collapsed="false">
      <c r="A36" s="18" t="str">
        <f aca="false">"For "&amp;Master!B16</f>
        <v>For [To be provided]</v>
      </c>
      <c r="B36" s="53" t="str">
        <f aca="false">Master!B2</f>
        <v>Daivbharathi Technologies LLP</v>
      </c>
    </row>
    <row r="37" customFormat="false" ht="15" hidden="false" customHeight="false" outlineLevel="0" collapsed="false">
      <c r="A37" s="54" t="str">
        <f aca="false">"(FRN: "&amp;Master!B17&amp;")"</f>
        <v>(FRN: [To be provided])</v>
      </c>
    </row>
    <row r="41" customFormat="false" ht="15" hidden="false" customHeight="false" outlineLevel="0" collapsed="false">
      <c r="A41" s="55" t="str">
        <f aca="false">UPPER(Master!B13)</f>
        <v>[TO BE PROVIDED]</v>
      </c>
      <c r="B41" s="56" t="str">
        <f aca="false">UPPER(Master!B22)</f>
        <v>SAMARTHA RAGHAVA NAGABHUSHANAM</v>
      </c>
      <c r="D41" s="56" t="str">
        <f aca="false">UPPER(Master!B26)</f>
        <v>[TO BE PROVIDED]</v>
      </c>
    </row>
    <row r="42" customFormat="false" ht="15" hidden="false" customHeight="false" outlineLevel="0" collapsed="false">
      <c r="A42" s="54" t="str">
        <f aca="false">PROPER(Master!B14)</f>
        <v>[To Be Provided]</v>
      </c>
      <c r="B42" s="57" t="s">
        <v>201</v>
      </c>
      <c r="D42" s="57" t="str">
        <f aca="false">B42</f>
        <v>Designated Partner</v>
      </c>
    </row>
    <row r="43" customFormat="false" ht="15" hidden="false" customHeight="false" outlineLevel="0" collapsed="false">
      <c r="A43" s="58" t="str">
        <f aca="false">"Membership No. "&amp;Master!B15</f>
        <v>Membership No. [To be provided]</v>
      </c>
      <c r="B43" s="2" t="str">
        <f aca="false">"DPIN: "&amp;Master!B23</f>
        <v>DPIN: [To be provided]</v>
      </c>
      <c r="D43" s="2" t="str">
        <f aca="false">"DPIN: "&amp;Master!B27</f>
        <v>DPIN: [To be provided]</v>
      </c>
    </row>
    <row r="44" customFormat="false" ht="15" hidden="false" customHeight="false" outlineLevel="0" collapsed="false">
      <c r="A44" s="58" t="str">
        <f aca="false">"UDIN: "&amp;Master!B18</f>
        <v>UDIN: [To be provided]</v>
      </c>
    </row>
    <row r="45" customFormat="false" ht="15" hidden="false" customHeight="false" outlineLevel="0" collapsed="false">
      <c r="A45" s="2" t="str">
        <f aca="false">Master!B19</f>
        <v>[To be provided]</v>
      </c>
      <c r="B45" s="2" t="str">
        <f aca="false">Master!B24</f>
        <v>[To be provided]</v>
      </c>
      <c r="D45" s="2" t="str">
        <f aca="false">Master!B28</f>
        <v>[To be provided]</v>
      </c>
    </row>
    <row r="46" customFormat="false" ht="15" hidden="false" customHeight="false" outlineLevel="0" collapsed="false">
      <c r="A46" s="2" t="str">
        <f aca="false">Master!B20</f>
        <v>[To be provided]</v>
      </c>
      <c r="B46" s="2" t="str">
        <f aca="false">Master!B25</f>
        <v>[To be provided]</v>
      </c>
      <c r="D46" s="2" t="str">
        <f aca="false">Master!B29</f>
        <v>[To be provided]</v>
      </c>
    </row>
  </sheetData>
  <printOptions headings="false" gridLines="false" gridLinesSet="true" horizontalCentered="false" verticalCentered="false"/>
  <pageMargins left="0.39375" right="0.39375" top="0.39375" bottom="0.39375"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61.5"/>
    <col collapsed="false" customWidth="true" hidden="false" outlineLevel="0" max="2" min="2" style="0" width="32"/>
    <col collapsed="false" customWidth="true" hidden="false" outlineLevel="0" max="3" min="3" style="0" width="6.4"/>
    <col collapsed="false" customWidth="true" hidden="false" outlineLevel="0" max="5" min="4" style="0" width="20"/>
  </cols>
  <sheetData>
    <row r="1" customFormat="false" ht="15" hidden="false" customHeight="false" outlineLevel="0" collapsed="false">
      <c r="A1" s="18" t="str">
        <f aca="false">UPPER(Master!B2)</f>
        <v>DAIVBHARATHI TECHNOLOGIES LLP</v>
      </c>
    </row>
    <row r="2" customFormat="false" ht="15" hidden="false" customHeight="false" outlineLevel="0" collapsed="false">
      <c r="A2" s="18" t="str">
        <f aca="false">"LLPIN: "&amp;UPPER(Master!B4)</f>
        <v>LLPIN: [TO BE PROVIDED]</v>
      </c>
    </row>
    <row r="3" customFormat="false" ht="33.75" hidden="false" customHeight="true" outlineLevel="0" collapsed="false">
      <c r="A3" s="28" t="str">
        <f aca="false">Master!B3</f>
        <v>No 63, 1st Floor, 1st Main, 7th Block, Koramangala VI Block, Bangalore 560095</v>
      </c>
    </row>
    <row r="4" customFormat="false" ht="15" hidden="false" customHeight="false" outlineLevel="0" collapsed="false">
      <c r="A4" s="18" t="str">
        <f aca="false">"PROFIT AND LOSS STATEMENT FOR THE PERIOD "&amp;Master!B5</f>
        <v>PROFIT AND LOSS STATEMENT FOR THE PERIOD 2025-26</v>
      </c>
    </row>
    <row r="5" customFormat="false" ht="15" hidden="false" customHeight="true" outlineLevel="0" collapsed="false">
      <c r="E5" s="1" t="str">
        <f aca="false">Master!B32</f>
        <v>(Amount in ₹ '00)</v>
      </c>
    </row>
    <row r="6" customFormat="false" ht="17.25" hidden="false" customHeight="true" outlineLevel="0" collapsed="false">
      <c r="A6" s="29" t="s">
        <v>165</v>
      </c>
      <c r="B6" s="29"/>
      <c r="C6" s="29" t="s">
        <v>166</v>
      </c>
      <c r="D6" s="30" t="str">
        <f aca="false">Master!B33</f>
        <v>MARCH 31, 2026</v>
      </c>
      <c r="E6" s="30" t="str">
        <f aca="false">Master!B34</f>
        <v>MARCH 31, 2025</v>
      </c>
    </row>
    <row r="7" customFormat="false" ht="16.5" hidden="false" customHeight="true" outlineLevel="0" collapsed="false">
      <c r="A7" s="36" t="s">
        <v>202</v>
      </c>
      <c r="D7" s="34"/>
      <c r="E7" s="34"/>
    </row>
    <row r="8" customFormat="false" ht="16.5" hidden="false" customHeight="true" outlineLevel="0" collapsed="false">
      <c r="A8" s="38" t="s">
        <v>203</v>
      </c>
      <c r="C8" s="39" t="s">
        <v>204</v>
      </c>
      <c r="D8" s="40" t="n">
        <f aca="false">'2.2 - 2.10'!D68</f>
        <v>10593.6354</v>
      </c>
      <c r="E8" s="40" t="n">
        <f aca="false">'2.2 - 2.10'!E68</f>
        <v>0</v>
      </c>
    </row>
    <row r="9" customFormat="false" ht="16.5" hidden="false" customHeight="true" outlineLevel="0" collapsed="false">
      <c r="A9" s="38" t="s">
        <v>205</v>
      </c>
      <c r="D9" s="43" t="n">
        <v>0</v>
      </c>
      <c r="E9" s="43" t="n">
        <v>0</v>
      </c>
    </row>
    <row r="10" customFormat="false" ht="16.5" hidden="false" customHeight="true" outlineLevel="0" collapsed="false">
      <c r="A10" s="59" t="s">
        <v>206</v>
      </c>
      <c r="D10" s="42" t="n">
        <f aca="false">SUM(D8:D9)</f>
        <v>10593.6354</v>
      </c>
      <c r="E10" s="42" t="n">
        <f aca="false">SUM(E8:E9)</f>
        <v>0</v>
      </c>
    </row>
    <row r="11" customFormat="false" ht="16.5" hidden="false" customHeight="true" outlineLevel="0" collapsed="false"/>
    <row r="12" customFormat="false" ht="16.5" hidden="false" customHeight="true" outlineLevel="0" collapsed="false">
      <c r="A12" s="36" t="s">
        <v>207</v>
      </c>
      <c r="D12" s="37"/>
      <c r="E12" s="37"/>
    </row>
    <row r="13" customFormat="false" ht="16.5" hidden="false" customHeight="true" outlineLevel="0" collapsed="false">
      <c r="A13" s="38" t="s">
        <v>208</v>
      </c>
      <c r="C13" s="39" t="s">
        <v>209</v>
      </c>
      <c r="D13" s="43" t="n">
        <f aca="false">'2.2 - 2.10'!D105</f>
        <v>30595.9488</v>
      </c>
      <c r="E13" s="43" t="n">
        <f aca="false">'2.2 - 2.10'!E105</f>
        <v>11209.1152</v>
      </c>
    </row>
    <row r="14" customFormat="false" ht="16.5" hidden="false" customHeight="true" outlineLevel="0" collapsed="false">
      <c r="A14" s="59" t="s">
        <v>210</v>
      </c>
      <c r="D14" s="42" t="n">
        <f aca="false">SUM(D13:D13)</f>
        <v>30595.9488</v>
      </c>
      <c r="E14" s="42" t="n">
        <f aca="false">SUM(E13:E13)</f>
        <v>11209.1152</v>
      </c>
    </row>
    <row r="15" customFormat="false" ht="16.5" hidden="false" customHeight="true" outlineLevel="0" collapsed="false"/>
    <row r="16" customFormat="false" ht="16.5" hidden="false" customHeight="true" outlineLevel="0" collapsed="false">
      <c r="A16" s="36" t="s">
        <v>211</v>
      </c>
      <c r="D16" s="42" t="n">
        <f aca="false">D10-D14</f>
        <v>-20002.3134</v>
      </c>
      <c r="E16" s="42" t="n">
        <f aca="false">E10-E14</f>
        <v>-11209.1152</v>
      </c>
    </row>
    <row r="17" customFormat="false" ht="16.5" hidden="false" customHeight="true" outlineLevel="0" collapsed="false">
      <c r="A17" s="60" t="s">
        <v>212</v>
      </c>
      <c r="D17" s="61" t="n">
        <v>0</v>
      </c>
      <c r="E17" s="61" t="n">
        <v>0</v>
      </c>
    </row>
    <row r="18" customFormat="false" ht="16.5" hidden="false" customHeight="true" outlineLevel="0" collapsed="false">
      <c r="A18" s="36" t="s">
        <v>213</v>
      </c>
      <c r="D18" s="42" t="n">
        <f aca="false">D16-D17</f>
        <v>-20002.3134</v>
      </c>
      <c r="E18" s="42" t="n">
        <f aca="false">E16-E17</f>
        <v>-11209.1152</v>
      </c>
    </row>
    <row r="19" customFormat="false" ht="16.5" hidden="false" customHeight="true" outlineLevel="0" collapsed="false">
      <c r="A19" s="60" t="s">
        <v>214</v>
      </c>
      <c r="D19" s="61" t="n">
        <v>0</v>
      </c>
      <c r="E19" s="61" t="n">
        <v>0</v>
      </c>
    </row>
    <row r="20" customFormat="false" ht="16.5" hidden="false" customHeight="true" outlineLevel="0" collapsed="false">
      <c r="A20" s="36" t="s">
        <v>215</v>
      </c>
      <c r="D20" s="42" t="n">
        <f aca="false">D18+D19</f>
        <v>-20002.3134</v>
      </c>
      <c r="E20" s="42" t="n">
        <f aca="false">E18+E19</f>
        <v>-11209.1152</v>
      </c>
    </row>
    <row r="21" customFormat="false" ht="4.5" hidden="false" customHeight="true" outlineLevel="0" collapsed="false"/>
    <row r="22" customFormat="false" ht="16.5" hidden="false" customHeight="true" outlineLevel="0" collapsed="false">
      <c r="A22" s="36" t="s">
        <v>216</v>
      </c>
      <c r="D22" s="37"/>
      <c r="E22" s="37"/>
    </row>
    <row r="23" customFormat="false" ht="16.5" hidden="false" customHeight="true" outlineLevel="0" collapsed="false">
      <c r="A23" s="41" t="s">
        <v>217</v>
      </c>
      <c r="D23" s="40" t="n">
        <v>0</v>
      </c>
      <c r="E23" s="40" t="n">
        <v>0</v>
      </c>
    </row>
    <row r="24" customFormat="false" ht="16.5" hidden="false" customHeight="true" outlineLevel="0" collapsed="false">
      <c r="A24" s="41" t="s">
        <v>218</v>
      </c>
      <c r="D24" s="43" t="n">
        <v>0</v>
      </c>
      <c r="E24" s="43" t="n">
        <v>0</v>
      </c>
    </row>
    <row r="25" customFormat="false" ht="16.5" hidden="false" customHeight="true" outlineLevel="0" collapsed="false">
      <c r="A25" s="59" t="s">
        <v>219</v>
      </c>
      <c r="D25" s="42" t="n">
        <f aca="false">SUM(D23:D24)</f>
        <v>0</v>
      </c>
      <c r="E25" s="42" t="n">
        <f aca="false">SUM(E23:E24)</f>
        <v>0</v>
      </c>
    </row>
    <row r="26" customFormat="false" ht="4.5" hidden="false" customHeight="true" outlineLevel="0" collapsed="false"/>
    <row r="27" customFormat="false" ht="16.5" hidden="false" customHeight="true" outlineLevel="0" collapsed="false">
      <c r="A27" s="45" t="s">
        <v>220</v>
      </c>
      <c r="B27" s="46"/>
      <c r="C27" s="46"/>
      <c r="D27" s="48" t="n">
        <f aca="false">D20-D25</f>
        <v>-20002.3134</v>
      </c>
      <c r="E27" s="48" t="n">
        <f aca="false">E20-E25</f>
        <v>-11209.1152</v>
      </c>
    </row>
    <row r="28" customFormat="false" ht="4.5" hidden="false" customHeight="true" outlineLevel="0" collapsed="false"/>
    <row r="29" customFormat="false" ht="33" hidden="false" customHeight="true" outlineLevel="0" collapsed="false">
      <c r="A29" s="49" t="s">
        <v>197</v>
      </c>
      <c r="C29" s="50" t="s">
        <v>198</v>
      </c>
    </row>
    <row r="31" customFormat="false" ht="15" hidden="false" customHeight="false" outlineLevel="0" collapsed="false">
      <c r="A31" s="51" t="s">
        <v>199</v>
      </c>
      <c r="B31" s="62" t="s">
        <v>200</v>
      </c>
    </row>
    <row r="32" customFormat="false" ht="15" hidden="false" customHeight="false" outlineLevel="0" collapsed="false">
      <c r="A32" s="18" t="str">
        <f aca="false">"For "&amp;Master!B16</f>
        <v>For [To be provided]</v>
      </c>
      <c r="B32" s="63" t="str">
        <f aca="false">Master!B2</f>
        <v>Daivbharathi Technologies LLP</v>
      </c>
    </row>
    <row r="33" customFormat="false" ht="15" hidden="false" customHeight="false" outlineLevel="0" collapsed="false">
      <c r="A33" s="54" t="str">
        <f aca="false">"(FRN: "&amp;Master!B17&amp;")"</f>
        <v>(FRN: [To be provided])</v>
      </c>
    </row>
    <row r="37" customFormat="false" ht="15" hidden="false" customHeight="false" outlineLevel="0" collapsed="false">
      <c r="A37" s="55" t="str">
        <f aca="false">UPPER(Master!B13)</f>
        <v>[TO BE PROVIDED]</v>
      </c>
      <c r="B37" s="56" t="str">
        <f aca="false">UPPER(Master!B22)</f>
        <v>SAMARTHA RAGHAVA NAGABHUSHANAM</v>
      </c>
      <c r="D37" s="56" t="str">
        <f aca="false">UPPER(Master!B26)</f>
        <v>[TO BE PROVIDED]</v>
      </c>
    </row>
    <row r="38" customFormat="false" ht="15" hidden="false" customHeight="false" outlineLevel="0" collapsed="false">
      <c r="A38" s="54" t="str">
        <f aca="false">PROPER(Master!B14)</f>
        <v>[To Be Provided]</v>
      </c>
      <c r="B38" s="57" t="s">
        <v>201</v>
      </c>
      <c r="D38" s="57" t="str">
        <f aca="false">B38</f>
        <v>Designated Partner</v>
      </c>
    </row>
    <row r="39" customFormat="false" ht="15" hidden="false" customHeight="false" outlineLevel="0" collapsed="false">
      <c r="A39" s="58" t="str">
        <f aca="false">"Membership No. "&amp;Master!B15</f>
        <v>Membership No. [To be provided]</v>
      </c>
      <c r="B39" s="2" t="str">
        <f aca="false">"DPIN: "&amp;Master!B23</f>
        <v>DPIN: [To be provided]</v>
      </c>
      <c r="D39" s="2" t="str">
        <f aca="false">"DPIN: "&amp;Master!B27</f>
        <v>DPIN: [To be provided]</v>
      </c>
    </row>
    <row r="40" customFormat="false" ht="15" hidden="false" customHeight="false" outlineLevel="0" collapsed="false">
      <c r="A40" s="58" t="str">
        <f aca="false">"UDIN: "&amp;Master!B18</f>
        <v>UDIN: [To be provided]</v>
      </c>
    </row>
    <row r="41" customFormat="false" ht="15" hidden="false" customHeight="false" outlineLevel="0" collapsed="false">
      <c r="A41" s="2" t="str">
        <f aca="false">Master!B19</f>
        <v>[To be provided]</v>
      </c>
      <c r="B41" s="2" t="str">
        <f aca="false">Master!B24</f>
        <v>[To be provided]</v>
      </c>
      <c r="D41" s="2" t="str">
        <f aca="false">Master!B28</f>
        <v>[To be provided]</v>
      </c>
    </row>
    <row r="42" customFormat="false" ht="15" hidden="false" customHeight="false" outlineLevel="0" collapsed="false">
      <c r="A42" s="2" t="str">
        <f aca="false">Master!B20</f>
        <v>[To be provided]</v>
      </c>
      <c r="B42" s="2" t="str">
        <f aca="false">Master!B25</f>
        <v>[To be provided]</v>
      </c>
      <c r="D42" s="2" t="str">
        <f aca="false">Master!B29</f>
        <v>[To be provided]</v>
      </c>
    </row>
  </sheetData>
  <printOptions headings="false" gridLines="false" gridLinesSet="true" horizontalCentered="false" verticalCentered="false"/>
  <pageMargins left="0.39375" right="0.39375" top="0.39375" bottom="0.39375"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6.1"/>
    <col collapsed="false" customWidth="true" hidden="false" outlineLevel="0" max="2" min="2" style="0" width="18.5"/>
    <col collapsed="false" customWidth="true" hidden="false" outlineLevel="0" max="3" min="3" style="0" width="16.6"/>
    <col collapsed="false" customWidth="true" hidden="false" outlineLevel="0" max="5" min="4" style="0" width="17.5"/>
    <col collapsed="false" customWidth="true" hidden="false" outlineLevel="0" max="6" min="6" style="0" width="44"/>
  </cols>
  <sheetData>
    <row r="1" customFormat="false" ht="15" hidden="false" customHeight="false" outlineLevel="0" collapsed="false">
      <c r="A1" s="18" t="str">
        <f aca="false">UPPER(Master!B2)</f>
        <v>DAIVBHARATHI TECHNOLOGIES LLP</v>
      </c>
      <c r="F1" s="35" t="s">
        <v>221</v>
      </c>
    </row>
    <row r="2" customFormat="false" ht="15" hidden="false" customHeight="false" outlineLevel="0" collapsed="false">
      <c r="A2" s="18" t="str">
        <f aca="false">"LLPIN: "&amp;UPPER(Master!B4)</f>
        <v>LLPIN: [TO BE PROVIDED]</v>
      </c>
    </row>
    <row r="3" customFormat="false" ht="33.75" hidden="false" customHeight="true" outlineLevel="0" collapsed="false">
      <c r="A3" s="28" t="str">
        <f aca="false">Master!B3</f>
        <v>No 63, 1st Floor, 1st Main, 7th Block, Koramangala VI Block, Bangalore 560095</v>
      </c>
    </row>
    <row r="4" customFormat="false" ht="15" hidden="false" customHeight="false" outlineLevel="0" collapsed="false">
      <c r="A4" s="18" t="str">
        <f aca="false">"2. NOTES FORMING PART OF THE FINANCIAL STATEMENTS FOR THE YEAR ENDED "&amp;Master!B33</f>
        <v>2. NOTES FORMING PART OF THE FINANCIAL STATEMENTS FOR THE YEAR ENDED MARCH 31, 2026</v>
      </c>
    </row>
    <row r="5" customFormat="false" ht="15" hidden="false" customHeight="true" outlineLevel="0" collapsed="false">
      <c r="E5" s="64"/>
    </row>
    <row r="6" customFormat="false" ht="15" hidden="false" customHeight="false" outlineLevel="0" collapsed="false">
      <c r="A6" s="8" t="s">
        <v>222</v>
      </c>
    </row>
    <row r="7" customFormat="false" ht="4.5" hidden="false" customHeight="true" outlineLevel="0" collapsed="false"/>
    <row r="8" customFormat="false" ht="15" hidden="false" customHeight="false" outlineLevel="0" collapsed="false">
      <c r="A8" s="65" t="s">
        <v>223</v>
      </c>
      <c r="E8" s="64" t="str">
        <f aca="false">Master!B32</f>
        <v>(Amount in ₹ '00)</v>
      </c>
    </row>
    <row r="9" customFormat="false" ht="15" hidden="false" customHeight="false" outlineLevel="0" collapsed="false">
      <c r="A9" s="29" t="s">
        <v>165</v>
      </c>
      <c r="B9" s="29"/>
      <c r="C9" s="29"/>
      <c r="D9" s="30" t="str">
        <f aca="false">Master!B33</f>
        <v>MARCH 31, 2026</v>
      </c>
      <c r="E9" s="30" t="str">
        <f aca="false">Master!B34</f>
        <v>MARCH 31, 2025</v>
      </c>
    </row>
    <row r="10" customFormat="false" ht="15" hidden="false" customHeight="false" outlineLevel="0" collapsed="false">
      <c r="A10" s="17" t="s">
        <v>224</v>
      </c>
    </row>
    <row r="11" customFormat="false" ht="15" hidden="false" customHeight="false" outlineLevel="0" collapsed="false">
      <c r="A11" s="66" t="str">
        <f aca="false">Master!B22</f>
        <v>Samartha Raghava Nagabhushanam</v>
      </c>
      <c r="D11" s="40" t="n">
        <f aca="false">SUMIFS(TB!$G:$G,TB!$I:$I,$F11)</f>
        <v>900</v>
      </c>
      <c r="E11" s="40" t="n">
        <f aca="false">SUMIFS(TB!$H:$H,TB!$I:$I,$F11)</f>
        <v>900</v>
      </c>
      <c r="F11" s="35" t="s">
        <v>59</v>
      </c>
    </row>
    <row r="12" customFormat="false" ht="15" hidden="false" customHeight="false" outlineLevel="0" collapsed="false">
      <c r="A12" s="66" t="str">
        <f aca="false">Master!B26</f>
        <v>[To be provided]</v>
      </c>
      <c r="D12" s="40" t="n">
        <v>0</v>
      </c>
      <c r="E12" s="40" t="n">
        <v>0</v>
      </c>
    </row>
    <row r="13" customFormat="false" ht="15" hidden="false" customHeight="false" outlineLevel="0" collapsed="false">
      <c r="A13" s="67" t="s">
        <v>42</v>
      </c>
      <c r="D13" s="42" t="n">
        <f aca="false">SUM(D11:D12)</f>
        <v>900</v>
      </c>
      <c r="E13" s="42" t="n">
        <f aca="false">SUM(E11:E12)</f>
        <v>900</v>
      </c>
    </row>
    <row r="14" customFormat="false" ht="4.5" hidden="false" customHeight="true" outlineLevel="0" collapsed="false"/>
    <row r="15" customFormat="false" ht="15" hidden="false" customHeight="false" outlineLevel="0" collapsed="false">
      <c r="A15" s="65" t="s">
        <v>225</v>
      </c>
      <c r="E15" s="64" t="str">
        <f aca="false">Master!B32</f>
        <v>(Amount in ₹ '00)</v>
      </c>
    </row>
    <row r="16" customFormat="false" ht="15" hidden="false" customHeight="false" outlineLevel="0" collapsed="false">
      <c r="A16" s="29" t="s">
        <v>165</v>
      </c>
      <c r="B16" s="29"/>
      <c r="C16" s="29"/>
      <c r="D16" s="30" t="str">
        <f aca="false">Master!B33</f>
        <v>MARCH 31, 2026</v>
      </c>
      <c r="E16" s="30" t="str">
        <f aca="false">Master!B34</f>
        <v>MARCH 31, 2025</v>
      </c>
    </row>
    <row r="17" customFormat="false" ht="15" hidden="false" customHeight="false" outlineLevel="0" collapsed="false">
      <c r="A17" s="58" t="s">
        <v>226</v>
      </c>
      <c r="D17" s="40" t="n">
        <f aca="false">E19</f>
        <v>900</v>
      </c>
      <c r="E17" s="40" t="n">
        <v>0</v>
      </c>
    </row>
    <row r="18" customFormat="false" ht="15" hidden="false" customHeight="false" outlineLevel="0" collapsed="false">
      <c r="A18" s="58" t="s">
        <v>227</v>
      </c>
      <c r="D18" s="40" t="n">
        <f aca="false">D19-D17</f>
        <v>0</v>
      </c>
      <c r="E18" s="40" t="n">
        <f aca="false">E19-E17</f>
        <v>900</v>
      </c>
    </row>
    <row r="19" customFormat="false" ht="15" hidden="false" customHeight="false" outlineLevel="0" collapsed="false">
      <c r="A19" s="68" t="s">
        <v>228</v>
      </c>
      <c r="B19" s="68"/>
      <c r="C19" s="68"/>
      <c r="D19" s="61" t="n">
        <f aca="false">D13</f>
        <v>900</v>
      </c>
      <c r="E19" s="61" t="n">
        <f aca="false">E13</f>
        <v>900</v>
      </c>
    </row>
    <row r="20" customFormat="false" ht="4.5" hidden="false" customHeight="true" outlineLevel="0" collapsed="false"/>
    <row r="21" customFormat="false" ht="15" hidden="false" customHeight="false" outlineLevel="0" collapsed="false">
      <c r="A21" s="65" t="s">
        <v>229</v>
      </c>
    </row>
    <row r="22" customFormat="false" ht="51.75" hidden="false" customHeight="true" outlineLevel="0" collapsed="false">
      <c r="A22" s="69" t="s">
        <v>230</v>
      </c>
      <c r="B22" s="69"/>
      <c r="C22" s="69"/>
      <c r="D22" s="69"/>
      <c r="E22" s="69"/>
    </row>
    <row r="23" customFormat="false" ht="4.5" hidden="false" customHeight="true" outlineLevel="0" collapsed="false"/>
    <row r="24" customFormat="false" ht="15" hidden="false" customHeight="false" outlineLevel="0" collapsed="false">
      <c r="A24" s="65" t="s">
        <v>231</v>
      </c>
    </row>
    <row r="25" customFormat="false" ht="15" hidden="false" customHeight="false" outlineLevel="0" collapsed="false">
      <c r="A25" s="70" t="s">
        <v>165</v>
      </c>
      <c r="B25" s="70"/>
      <c r="C25" s="70"/>
      <c r="D25" s="71" t="str">
        <f aca="false">Master!B33</f>
        <v>MARCH 31, 2026</v>
      </c>
      <c r="E25" s="71" t="str">
        <f aca="false">Master!B34</f>
        <v>MARCH 31, 2025</v>
      </c>
    </row>
    <row r="26" customFormat="false" ht="15" hidden="false" customHeight="false" outlineLevel="0" collapsed="false">
      <c r="A26" s="72"/>
      <c r="B26" s="72"/>
      <c r="C26" s="72"/>
      <c r="D26" s="73" t="s">
        <v>232</v>
      </c>
      <c r="E26" s="73" t="s">
        <v>232</v>
      </c>
    </row>
    <row r="27" customFormat="false" ht="15" hidden="false" customHeight="false" outlineLevel="0" collapsed="false">
      <c r="A27" s="58" t="str">
        <f aca="false">A11</f>
        <v>Samartha Raghava Nagabhushanam</v>
      </c>
      <c r="D27" s="40" t="n">
        <f aca="false">D11</f>
        <v>900</v>
      </c>
      <c r="E27" s="40" t="n">
        <f aca="false">E11</f>
        <v>900</v>
      </c>
    </row>
    <row r="28" customFormat="false" ht="15" hidden="false" customHeight="false" outlineLevel="0" collapsed="false">
      <c r="A28" s="58" t="str">
        <f aca="false">A12</f>
        <v>[To be provided]</v>
      </c>
      <c r="D28" s="40" t="n">
        <f aca="false">D12</f>
        <v>0</v>
      </c>
      <c r="E28" s="40" t="n">
        <f aca="false">E12</f>
        <v>0</v>
      </c>
    </row>
    <row r="29" customFormat="false" ht="15" hidden="false" customHeight="false" outlineLevel="0" collapsed="false">
      <c r="A29" s="74" t="s">
        <v>42</v>
      </c>
      <c r="B29" s="68"/>
      <c r="C29" s="68"/>
      <c r="D29" s="42" t="n">
        <f aca="false">SUM(D27:D28)</f>
        <v>900</v>
      </c>
      <c r="E29" s="42" t="n">
        <f aca="false">SUM(E27:E28)</f>
        <v>900</v>
      </c>
    </row>
    <row r="30" customFormat="false" ht="15" hidden="false" customHeight="false" outlineLevel="0" collapsed="false">
      <c r="A30" s="54" t="s">
        <v>233</v>
      </c>
      <c r="D30" s="75" t="n">
        <f aca="false">IF(D29=0,0,D27/D29)</f>
        <v>1</v>
      </c>
      <c r="E30" s="75" t="n">
        <f aca="false">IF(E29=0,0,E27/E29)</f>
        <v>1</v>
      </c>
    </row>
  </sheetData>
  <mergeCells count="1">
    <mergeCell ref="A22:E22"/>
  </mergeCells>
  <printOptions headings="false" gridLines="false" gridLinesSet="true" horizontalCentered="false" verticalCentered="false"/>
  <pageMargins left="0.39375" right="0.39375" top="0.39375" bottom="0.39375"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10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0"/>
    <col collapsed="false" customWidth="true" hidden="false" outlineLevel="0" max="2" min="2" style="0" width="11.9"/>
    <col collapsed="false" customWidth="true" hidden="false" outlineLevel="0" max="3" min="3" style="0" width="70.6"/>
    <col collapsed="false" customWidth="true" hidden="false" outlineLevel="0" max="5" min="4" style="0" width="17.4"/>
  </cols>
  <sheetData>
    <row r="1" customFormat="false" ht="15" hidden="false" customHeight="false" outlineLevel="0" collapsed="false">
      <c r="A1" s="35" t="s">
        <v>234</v>
      </c>
      <c r="B1" s="18" t="str">
        <f aca="false">UPPER(Master!B2)</f>
        <v>DAIVBHARATHI TECHNOLOGIES LLP</v>
      </c>
    </row>
    <row r="2" customFormat="false" ht="15" hidden="false" customHeight="false" outlineLevel="0" collapsed="false">
      <c r="B2" s="18" t="str">
        <f aca="false">"LLPIN: "&amp;UPPER(Master!B4)</f>
        <v>LLPIN: [TO BE PROVIDED]</v>
      </c>
    </row>
    <row r="3" customFormat="false" ht="33.75" hidden="false" customHeight="true" outlineLevel="0" collapsed="false">
      <c r="B3" s="28" t="str">
        <f aca="false">Master!B3</f>
        <v>No 63, 1st Floor, 1st Main, 7th Block, Koramangala VI Block, Bangalore 560095</v>
      </c>
    </row>
    <row r="4" customFormat="false" ht="15" hidden="false" customHeight="false" outlineLevel="0" collapsed="false">
      <c r="B4" s="18" t="str">
        <f aca="false">"2. NOTES FORMING PART OF THE FINANCIAL STATEMENTS FOR THE YEAR ENDED "&amp;Master!B33</f>
        <v>2. NOTES FORMING PART OF THE FINANCIAL STATEMENTS FOR THE YEAR ENDED MARCH 31, 2026</v>
      </c>
    </row>
    <row r="5" customFormat="false" ht="15" hidden="false" customHeight="true" outlineLevel="0" collapsed="false">
      <c r="E5" s="64" t="str">
        <f aca="false">Master!B32</f>
        <v>(Amount in ₹ '00)</v>
      </c>
    </row>
    <row r="6" customFormat="false" ht="17.25" hidden="false" customHeight="true" outlineLevel="0" collapsed="false">
      <c r="B6" s="29" t="s">
        <v>166</v>
      </c>
      <c r="C6" s="29" t="s">
        <v>165</v>
      </c>
      <c r="D6" s="76" t="str">
        <f aca="false">Master!B33</f>
        <v>MARCH 31, 2026</v>
      </c>
      <c r="E6" s="76" t="str">
        <f aca="false">Master!B34</f>
        <v>MARCH 31, 2025</v>
      </c>
    </row>
    <row r="7" customFormat="false" ht="4.5" hidden="false" customHeight="true" outlineLevel="0" collapsed="false"/>
    <row r="8" customFormat="false" ht="15" hidden="false" customHeight="false" outlineLevel="0" collapsed="false">
      <c r="B8" s="77" t="s">
        <v>173</v>
      </c>
      <c r="C8" s="78" t="s">
        <v>161</v>
      </c>
    </row>
    <row r="9" customFormat="false" ht="4.5" hidden="false" customHeight="true" outlineLevel="0" collapsed="false"/>
    <row r="10" customFormat="false" ht="15" hidden="false" customHeight="false" outlineLevel="0" collapsed="false">
      <c r="B10" s="79"/>
      <c r="C10" s="80" t="s">
        <v>235</v>
      </c>
      <c r="D10" s="79"/>
      <c r="E10" s="79"/>
    </row>
    <row r="11" customFormat="false" ht="15" hidden="false" customHeight="false" outlineLevel="0" collapsed="false">
      <c r="A11" s="35" t="s">
        <v>160</v>
      </c>
      <c r="C11" s="81" t="s">
        <v>236</v>
      </c>
      <c r="D11" s="40" t="n">
        <f aca="false">-SUMIFS(TB!$G:$G,TB!$I:$I,$A11)</f>
        <v>-11209.1152</v>
      </c>
      <c r="E11" s="40" t="n">
        <f aca="false">-SUMIFS(TB!$H:$H,TB!$I:$I,$A11)</f>
        <v>-0</v>
      </c>
    </row>
    <row r="12" customFormat="false" ht="15" hidden="false" customHeight="false" outlineLevel="0" collapsed="false">
      <c r="C12" s="81" t="s">
        <v>237</v>
      </c>
      <c r="D12" s="40" t="n">
        <f aca="false">PL!D27</f>
        <v>-20002.3134</v>
      </c>
      <c r="E12" s="40" t="n">
        <f aca="false">PL!E27</f>
        <v>-11209.1152</v>
      </c>
    </row>
    <row r="13" customFormat="false" ht="15" hidden="false" customHeight="false" outlineLevel="0" collapsed="false">
      <c r="C13" s="81" t="s">
        <v>238</v>
      </c>
      <c r="D13" s="40" t="n">
        <v>0</v>
      </c>
      <c r="E13" s="40" t="n">
        <v>0</v>
      </c>
    </row>
    <row r="14" customFormat="false" ht="15" hidden="false" customHeight="false" outlineLevel="0" collapsed="false">
      <c r="C14" s="81" t="s">
        <v>239</v>
      </c>
      <c r="D14" s="40" t="n">
        <v>0</v>
      </c>
      <c r="E14" s="40" t="n">
        <v>0</v>
      </c>
    </row>
    <row r="15" customFormat="false" ht="15" hidden="false" customHeight="false" outlineLevel="0" collapsed="false">
      <c r="C15" s="65" t="s">
        <v>240</v>
      </c>
      <c r="D15" s="42" t="n">
        <f aca="false">D11+D12-D13-D14</f>
        <v>-31211.4286</v>
      </c>
      <c r="E15" s="42" t="n">
        <f aca="false">E11+E12-E13-E14</f>
        <v>-11209.1152</v>
      </c>
    </row>
    <row r="16" customFormat="false" ht="15" hidden="false" customHeight="false" outlineLevel="0" collapsed="false">
      <c r="B16" s="82"/>
      <c r="C16" s="82"/>
      <c r="D16" s="42" t="n">
        <f aca="false">D15</f>
        <v>-31211.4286</v>
      </c>
      <c r="E16" s="42" t="n">
        <f aca="false">E15</f>
        <v>-11209.1152</v>
      </c>
    </row>
    <row r="17" customFormat="false" ht="4.5" hidden="false" customHeight="true" outlineLevel="0" collapsed="false"/>
    <row r="18" customFormat="false" ht="15" hidden="false" customHeight="false" outlineLevel="0" collapsed="false">
      <c r="B18" s="77" t="s">
        <v>177</v>
      </c>
      <c r="C18" s="78" t="s">
        <v>64</v>
      </c>
    </row>
    <row r="19" customFormat="false" ht="15" hidden="false" customHeight="false" outlineLevel="0" collapsed="false">
      <c r="B19" s="79"/>
      <c r="C19" s="80" t="s">
        <v>241</v>
      </c>
      <c r="D19" s="79"/>
      <c r="E19" s="79"/>
    </row>
    <row r="20" customFormat="false" ht="15" hidden="false" customHeight="false" outlineLevel="0" collapsed="false">
      <c r="A20" s="35" t="s">
        <v>66</v>
      </c>
      <c r="C20" s="81" t="str">
        <f aca="false">"From partner - "&amp;Master!B22</f>
        <v>From partner - Samartha Raghava Nagabhushanam</v>
      </c>
      <c r="D20" s="40" t="n">
        <f aca="false">SUMIFS(TB!$G:$G,TB!$I:$I,$A20)</f>
        <v>24806.8</v>
      </c>
      <c r="E20" s="40" t="n">
        <f aca="false">SUMIFS(TB!$H:$H,TB!$I:$I,$A20)</f>
        <v>7806.8</v>
      </c>
    </row>
    <row r="21" customFormat="false" ht="15" hidden="false" customHeight="false" outlineLevel="0" collapsed="false">
      <c r="A21" s="35" t="s">
        <v>63</v>
      </c>
      <c r="C21" s="81" t="s">
        <v>242</v>
      </c>
      <c r="D21" s="40" t="n">
        <f aca="false">SUMIFS(TB!$G:$G,TB!$I:$I,$A21)</f>
        <v>1701.8</v>
      </c>
      <c r="E21" s="40" t="n">
        <f aca="false">SUMIFS(TB!$H:$H,TB!$I:$I,$A21)</f>
        <v>0</v>
      </c>
    </row>
    <row r="22" customFormat="false" ht="15" hidden="false" customHeight="false" outlineLevel="0" collapsed="false">
      <c r="C22" s="65" t="s">
        <v>42</v>
      </c>
      <c r="D22" s="42" t="n">
        <f aca="false">SUM(D20:D21)</f>
        <v>26508.6</v>
      </c>
      <c r="E22" s="42" t="n">
        <f aca="false">SUM(E20:E21)</f>
        <v>7806.8</v>
      </c>
    </row>
    <row r="23" customFormat="false" ht="4.5" hidden="false" customHeight="true" outlineLevel="0" collapsed="false"/>
    <row r="24" customFormat="false" ht="15" hidden="false" customHeight="false" outlineLevel="0" collapsed="false">
      <c r="B24" s="77" t="s">
        <v>181</v>
      </c>
      <c r="C24" s="78" t="s">
        <v>80</v>
      </c>
    </row>
    <row r="25" customFormat="false" ht="4.5" hidden="false" customHeight="true" outlineLevel="0" collapsed="false"/>
    <row r="26" customFormat="false" ht="15" hidden="false" customHeight="false" outlineLevel="0" collapsed="false">
      <c r="B26" s="79"/>
      <c r="C26" s="79" t="s">
        <v>243</v>
      </c>
      <c r="D26" s="79"/>
      <c r="E26" s="79"/>
    </row>
    <row r="27" customFormat="false" ht="15" hidden="false" customHeight="false" outlineLevel="0" collapsed="false">
      <c r="A27" s="35" t="s">
        <v>244</v>
      </c>
      <c r="C27" s="4" t="s">
        <v>245</v>
      </c>
      <c r="D27" s="40" t="n">
        <f aca="false">SUMIFS(TB!$G:$G,TB!$I:$I,$A27)</f>
        <v>0</v>
      </c>
      <c r="E27" s="40" t="n">
        <f aca="false">SUMIFS(TB!$H:$H,TB!$I:$I,$A27)</f>
        <v>0</v>
      </c>
    </row>
    <row r="28" customFormat="false" ht="15" hidden="false" customHeight="false" outlineLevel="0" collapsed="false">
      <c r="A28" s="35" t="s">
        <v>79</v>
      </c>
      <c r="C28" s="4" t="s">
        <v>246</v>
      </c>
      <c r="D28" s="40" t="n">
        <f aca="false">SUMIFS(TB!$G:$G,TB!$I:$I,$A28)</f>
        <v>5483.2048</v>
      </c>
      <c r="E28" s="40" t="n">
        <f aca="false">SUMIFS(TB!$H:$H,TB!$I:$I,$A28)</f>
        <v>2280</v>
      </c>
    </row>
    <row r="29" customFormat="false" ht="4.5" hidden="false" customHeight="true" outlineLevel="0" collapsed="false"/>
    <row r="30" customFormat="false" ht="15" hidden="false" customHeight="false" outlineLevel="0" collapsed="false">
      <c r="C30" s="65" t="s">
        <v>42</v>
      </c>
      <c r="D30" s="42" t="n">
        <f aca="false">SUM(D27:D28)</f>
        <v>5483.2048</v>
      </c>
      <c r="E30" s="42" t="n">
        <f aca="false">SUM(E27:E28)</f>
        <v>2280</v>
      </c>
    </row>
    <row r="31" customFormat="false" ht="4.5" hidden="false" customHeight="true" outlineLevel="0" collapsed="false"/>
    <row r="32" customFormat="false" ht="15" hidden="false" customHeight="false" outlineLevel="0" collapsed="false">
      <c r="B32" s="77" t="s">
        <v>183</v>
      </c>
      <c r="C32" s="78" t="s">
        <v>70</v>
      </c>
    </row>
    <row r="33" customFormat="false" ht="15" hidden="false" customHeight="false" outlineLevel="0" collapsed="false">
      <c r="B33" s="79"/>
      <c r="C33" s="80" t="s">
        <v>247</v>
      </c>
      <c r="D33" s="79"/>
      <c r="E33" s="79"/>
    </row>
    <row r="34" customFormat="false" ht="15" hidden="false" customHeight="false" outlineLevel="0" collapsed="false">
      <c r="A34" s="35" t="s">
        <v>69</v>
      </c>
      <c r="C34" s="81" t="s">
        <v>248</v>
      </c>
      <c r="D34" s="40" t="n">
        <f aca="false">SUMIFS(TB!$G:$G,TB!$I:$I,$A34)</f>
        <v>217.6</v>
      </c>
      <c r="E34" s="40" t="n">
        <f aca="false">SUMIFS(TB!$H:$H,TB!$I:$I,$A34)</f>
        <v>350</v>
      </c>
    </row>
    <row r="35" customFormat="false" ht="15" hidden="false" customHeight="false" outlineLevel="0" collapsed="false">
      <c r="A35" s="35" t="s">
        <v>71</v>
      </c>
      <c r="C35" s="81" t="s">
        <v>249</v>
      </c>
      <c r="D35" s="40" t="n">
        <f aca="false">SUMIFS(TB!$G:$G,TB!$I:$I,$A35)</f>
        <v>75.0541</v>
      </c>
      <c r="E35" s="40" t="n">
        <f aca="false">SUMIFS(TB!$H:$H,TB!$I:$I,$A35)</f>
        <v>0</v>
      </c>
    </row>
    <row r="36" customFormat="false" ht="15" hidden="false" customHeight="false" outlineLevel="0" collapsed="false">
      <c r="C36" s="18" t="s">
        <v>250</v>
      </c>
    </row>
    <row r="37" customFormat="false" ht="15" hidden="false" customHeight="false" outlineLevel="0" collapsed="false">
      <c r="A37" s="35" t="s">
        <v>124</v>
      </c>
      <c r="C37" s="81" t="s">
        <v>251</v>
      </c>
      <c r="D37" s="40" t="n">
        <f aca="false">SUMIFS(TB!$G:$G,TB!$I:$I,$A37)</f>
        <v>25.9305</v>
      </c>
      <c r="E37" s="40" t="n">
        <f aca="false">SUMIFS(TB!$H:$H,TB!$I:$I,$A37)</f>
        <v>0</v>
      </c>
    </row>
    <row r="38" customFormat="false" ht="4.5" hidden="false" customHeight="true" outlineLevel="0" collapsed="false"/>
    <row r="39" customFormat="false" ht="15" hidden="false" customHeight="false" outlineLevel="0" collapsed="false">
      <c r="C39" s="65" t="s">
        <v>42</v>
      </c>
      <c r="D39" s="42" t="n">
        <f aca="false">SUM(D34:D37)</f>
        <v>318.5846</v>
      </c>
      <c r="E39" s="42" t="n">
        <f aca="false">SUM(E34:E37)</f>
        <v>350</v>
      </c>
    </row>
    <row r="40" customFormat="false" ht="4.5" hidden="false" customHeight="true" outlineLevel="0" collapsed="false"/>
    <row r="41" customFormat="false" ht="15" hidden="false" customHeight="false" outlineLevel="0" collapsed="false">
      <c r="B41" s="77" t="s">
        <v>192</v>
      </c>
      <c r="C41" s="78" t="s">
        <v>119</v>
      </c>
    </row>
    <row r="42" customFormat="false" ht="4.5" hidden="false" customHeight="true" outlineLevel="0" collapsed="false">
      <c r="B42" s="79"/>
      <c r="C42" s="79"/>
      <c r="D42" s="79"/>
      <c r="E42" s="79"/>
    </row>
    <row r="43" customFormat="false" ht="15" hidden="false" customHeight="false" outlineLevel="0" collapsed="false">
      <c r="A43" s="35" t="s">
        <v>118</v>
      </c>
      <c r="C43" s="81" t="s">
        <v>118</v>
      </c>
      <c r="D43" s="40" t="n">
        <f aca="false">SUMIFS(TB!$G:$G,TB!$I:$I,$A43)</f>
        <v>207.542</v>
      </c>
      <c r="E43" s="40" t="n">
        <f aca="false">SUMIFS(TB!$H:$H,TB!$I:$I,$A43)</f>
        <v>0</v>
      </c>
    </row>
    <row r="44" customFormat="false" ht="15" hidden="false" customHeight="false" outlineLevel="0" collapsed="false">
      <c r="A44" s="35" t="s">
        <v>122</v>
      </c>
      <c r="C44" s="81" t="s">
        <v>252</v>
      </c>
      <c r="D44" s="40" t="n">
        <f aca="false">SUMIFS(TB!$G:$G,TB!$I:$I,$A44)</f>
        <v>0</v>
      </c>
      <c r="E44" s="40" t="n">
        <f aca="false">SUMIFS(TB!$H:$H,TB!$I:$I,$A44)</f>
        <v>127.6848</v>
      </c>
    </row>
    <row r="45" customFormat="false" ht="15" hidden="false" customHeight="false" outlineLevel="0" collapsed="false">
      <c r="C45" s="65" t="s">
        <v>42</v>
      </c>
      <c r="D45" s="42" t="n">
        <f aca="false">SUM(D43:D44)</f>
        <v>207.542</v>
      </c>
      <c r="E45" s="42" t="n">
        <f aca="false">SUM(E43:E44)</f>
        <v>127.6848</v>
      </c>
    </row>
    <row r="46" customFormat="false" ht="4.5" hidden="false" customHeight="true" outlineLevel="0" collapsed="false"/>
    <row r="47" customFormat="false" ht="15" hidden="false" customHeight="false" outlineLevel="0" collapsed="false">
      <c r="B47" s="77" t="s">
        <v>194</v>
      </c>
      <c r="C47" s="78" t="s">
        <v>107</v>
      </c>
    </row>
    <row r="48" customFormat="false" ht="15" hidden="false" customHeight="false" outlineLevel="0" collapsed="false">
      <c r="B48" s="79"/>
      <c r="C48" s="80" t="s">
        <v>253</v>
      </c>
      <c r="D48" s="79"/>
      <c r="E48" s="79"/>
    </row>
    <row r="49" customFormat="false" ht="15" hidden="false" customHeight="false" outlineLevel="0" collapsed="false">
      <c r="A49" s="35" t="s">
        <v>106</v>
      </c>
      <c r="C49" s="81" t="s">
        <v>104</v>
      </c>
      <c r="D49" s="40" t="n">
        <f aca="false">SUMIFS(TB!$G:$G,TB!$I:$I,$A49)</f>
        <v>150</v>
      </c>
      <c r="E49" s="40" t="n">
        <f aca="false">SUMIFS(TB!$H:$H,TB!$I:$I,$A49)</f>
        <v>0</v>
      </c>
    </row>
    <row r="50" customFormat="false" ht="15" hidden="false" customHeight="false" outlineLevel="0" collapsed="false">
      <c r="A50" s="35" t="s">
        <v>109</v>
      </c>
      <c r="C50" s="81" t="s">
        <v>108</v>
      </c>
      <c r="D50" s="40" t="n">
        <f aca="false">SUMIFS(TB!$G:$G,TB!$I:$I,$A50)</f>
        <v>200</v>
      </c>
      <c r="E50" s="40" t="n">
        <f aca="false">SUMIFS(TB!$H:$H,TB!$I:$I,$A50)</f>
        <v>0</v>
      </c>
    </row>
    <row r="51" customFormat="false" ht="15" hidden="false" customHeight="false" outlineLevel="0" collapsed="false">
      <c r="A51" s="35" t="s">
        <v>111</v>
      </c>
      <c r="C51" s="81" t="s">
        <v>110</v>
      </c>
      <c r="D51" s="40" t="n">
        <f aca="false">SUMIFS(TB!$G:$G,TB!$I:$I,$A51)</f>
        <v>1210</v>
      </c>
      <c r="E51" s="40" t="n">
        <f aca="false">SUMIFS(TB!$H:$H,TB!$I:$I,$A51)</f>
        <v>0</v>
      </c>
    </row>
    <row r="52" customFormat="false" ht="15" hidden="false" customHeight="false" outlineLevel="0" collapsed="false">
      <c r="A52" s="35" t="s">
        <v>113</v>
      </c>
      <c r="C52" s="81" t="s">
        <v>112</v>
      </c>
      <c r="D52" s="40" t="n">
        <f aca="false">SUMIFS(TB!$G:$G,TB!$I:$I,$A52)</f>
        <v>25</v>
      </c>
      <c r="E52" s="40" t="n">
        <f aca="false">SUMIFS(TB!$H:$H,TB!$I:$I,$A52)</f>
        <v>0</v>
      </c>
    </row>
    <row r="53" customFormat="false" ht="15" hidden="false" customHeight="false" outlineLevel="0" collapsed="false">
      <c r="A53" s="35" t="s">
        <v>115</v>
      </c>
      <c r="C53" s="81" t="s">
        <v>114</v>
      </c>
      <c r="D53" s="40" t="n">
        <f aca="false">SUMIFS(TB!$G:$G,TB!$I:$I,$A53)</f>
        <v>150</v>
      </c>
      <c r="E53" s="40" t="n">
        <f aca="false">SUMIFS(TB!$H:$H,TB!$I:$I,$A53)</f>
        <v>0</v>
      </c>
    </row>
    <row r="54" customFormat="false" ht="4.5" hidden="false" customHeight="true" outlineLevel="0" collapsed="false"/>
    <row r="55" customFormat="false" ht="15" hidden="false" customHeight="false" outlineLevel="0" collapsed="false">
      <c r="C55" s="65" t="s">
        <v>42</v>
      </c>
      <c r="D55" s="42" t="n">
        <f aca="false">SUM(D49:D53)</f>
        <v>1735</v>
      </c>
      <c r="E55" s="42" t="n">
        <f aca="false">SUM(E49:E53)</f>
        <v>0</v>
      </c>
    </row>
    <row r="56" customFormat="false" ht="4.5" hidden="false" customHeight="true" outlineLevel="0" collapsed="false"/>
    <row r="57" customFormat="false" ht="15" hidden="false" customHeight="false" outlineLevel="0" collapsed="false">
      <c r="B57" s="77" t="s">
        <v>196</v>
      </c>
      <c r="C57" s="78" t="s">
        <v>74</v>
      </c>
    </row>
    <row r="58" customFormat="false" ht="15" hidden="false" customHeight="false" outlineLevel="0" collapsed="false">
      <c r="B58" s="79"/>
      <c r="C58" s="80" t="s">
        <v>254</v>
      </c>
      <c r="D58" s="79"/>
      <c r="E58" s="79"/>
    </row>
    <row r="59" customFormat="false" ht="15" hidden="false" customHeight="false" outlineLevel="0" collapsed="false">
      <c r="A59" s="35" t="s">
        <v>76</v>
      </c>
      <c r="C59" s="81" t="s">
        <v>255</v>
      </c>
      <c r="D59" s="40" t="n">
        <f aca="false">SUMIFS(TB!$G:$G,TB!$I:$I,$A59)</f>
        <v>28.2094</v>
      </c>
      <c r="E59" s="40" t="n">
        <f aca="false">SUMIFS(TB!$H:$H,TB!$I:$I,$A59)</f>
        <v>0</v>
      </c>
    </row>
    <row r="60" customFormat="false" ht="15" hidden="false" customHeight="false" outlineLevel="0" collapsed="false">
      <c r="A60" s="35" t="s">
        <v>73</v>
      </c>
      <c r="C60" s="81" t="s">
        <v>256</v>
      </c>
      <c r="D60" s="40" t="n">
        <f aca="false">SUMIFS(TB!$G:$G,TB!$I:$I,$A60)</f>
        <v>28.2094</v>
      </c>
      <c r="E60" s="40" t="n">
        <f aca="false">SUMIFS(TB!$H:$H,TB!$I:$I,$A60)</f>
        <v>0</v>
      </c>
    </row>
    <row r="61" customFormat="false" ht="4.5" hidden="false" customHeight="true" outlineLevel="0" collapsed="false"/>
    <row r="62" customFormat="false" ht="15" hidden="false" customHeight="false" outlineLevel="0" collapsed="false">
      <c r="C62" s="65" t="s">
        <v>42</v>
      </c>
      <c r="D62" s="42" t="n">
        <f aca="false">SUM(D59:D60)</f>
        <v>56.4188</v>
      </c>
      <c r="E62" s="42" t="n">
        <f aca="false">SUM(E59:E60)</f>
        <v>0</v>
      </c>
    </row>
    <row r="63" customFormat="false" ht="4.5" hidden="false" customHeight="true" outlineLevel="0" collapsed="false"/>
    <row r="64" customFormat="false" ht="15" hidden="false" customHeight="false" outlineLevel="0" collapsed="false">
      <c r="B64" s="77" t="s">
        <v>204</v>
      </c>
      <c r="C64" s="78" t="s">
        <v>127</v>
      </c>
    </row>
    <row r="65" customFormat="false" ht="4.5" hidden="false" customHeight="true" outlineLevel="0" collapsed="false">
      <c r="B65" s="79"/>
      <c r="C65" s="79"/>
      <c r="D65" s="79"/>
      <c r="E65" s="79"/>
    </row>
    <row r="66" customFormat="false" ht="15" hidden="false" customHeight="false" outlineLevel="0" collapsed="false">
      <c r="A66" s="35" t="s">
        <v>125</v>
      </c>
      <c r="C66" s="81" t="s">
        <v>125</v>
      </c>
      <c r="D66" s="40" t="n">
        <f aca="false">SUMIFS(TB!$G:$G,TB!$I:$I,$A66)</f>
        <v>10593.6354</v>
      </c>
      <c r="E66" s="40" t="n">
        <f aca="false">SUMIFS(TB!$H:$H,TB!$I:$I,$A66)</f>
        <v>0</v>
      </c>
    </row>
    <row r="67" customFormat="false" ht="4.5" hidden="false" customHeight="true" outlineLevel="0" collapsed="false"/>
    <row r="68" customFormat="false" ht="15" hidden="false" customHeight="false" outlineLevel="0" collapsed="false">
      <c r="C68" s="65" t="s">
        <v>42</v>
      </c>
      <c r="D68" s="42" t="n">
        <f aca="false">SUM(D66:D66)</f>
        <v>10593.6354</v>
      </c>
      <c r="E68" s="42" t="n">
        <f aca="false">SUM(E66:E66)</f>
        <v>0</v>
      </c>
    </row>
    <row r="69" customFormat="false" ht="4.5" hidden="false" customHeight="true" outlineLevel="0" collapsed="false"/>
    <row r="70" customFormat="false" ht="15" hidden="false" customHeight="false" outlineLevel="0" collapsed="false">
      <c r="B70" s="77" t="s">
        <v>209</v>
      </c>
      <c r="C70" s="78" t="s">
        <v>130</v>
      </c>
    </row>
    <row r="71" customFormat="false" ht="4.5" hidden="false" customHeight="true" outlineLevel="0" collapsed="false">
      <c r="B71" s="79"/>
      <c r="C71" s="79"/>
      <c r="D71" s="79"/>
      <c r="E71" s="79"/>
    </row>
    <row r="72" customFormat="false" ht="15" hidden="false" customHeight="false" outlineLevel="0" collapsed="false">
      <c r="A72" s="35" t="s">
        <v>128</v>
      </c>
      <c r="C72" s="81" t="s">
        <v>257</v>
      </c>
      <c r="D72" s="40" t="n">
        <f aca="false">SUMIFS(TB!$G:$G,TB!$I:$I,$A72)</f>
        <v>175.1</v>
      </c>
      <c r="E72" s="40" t="n">
        <f aca="false">SUMIFS(TB!$H:$H,TB!$I:$I,$A72)</f>
        <v>0</v>
      </c>
    </row>
    <row r="73" customFormat="false" ht="15" hidden="false" customHeight="false" outlineLevel="0" collapsed="false">
      <c r="A73" s="35" t="s">
        <v>131</v>
      </c>
      <c r="C73" s="81" t="s">
        <v>258</v>
      </c>
      <c r="D73" s="40" t="n">
        <f aca="false">SUMIFS(TB!$G:$G,TB!$I:$I,$A73)</f>
        <v>4106.8535</v>
      </c>
      <c r="E73" s="40" t="n">
        <f aca="false">SUMIFS(TB!$H:$H,TB!$I:$I,$A73)</f>
        <v>0</v>
      </c>
    </row>
    <row r="74" customFormat="false" ht="15" hidden="false" customHeight="false" outlineLevel="0" collapsed="false">
      <c r="A74" s="35" t="s">
        <v>132</v>
      </c>
      <c r="C74" s="81" t="s">
        <v>132</v>
      </c>
      <c r="D74" s="40" t="n">
        <f aca="false">SUMIFS(TB!$G:$G,TB!$I:$I,$A74)</f>
        <v>8.8063</v>
      </c>
      <c r="E74" s="40" t="n">
        <f aca="false">SUMIFS(TB!$H:$H,TB!$I:$I,$A74)</f>
        <v>3.1152</v>
      </c>
    </row>
    <row r="75" customFormat="false" ht="15" hidden="false" customHeight="false" outlineLevel="0" collapsed="false">
      <c r="A75" s="35" t="s">
        <v>133</v>
      </c>
      <c r="C75" s="81" t="s">
        <v>133</v>
      </c>
      <c r="D75" s="40" t="n">
        <f aca="false">SUMIFS(TB!$G:$G,TB!$I:$I,$A75)</f>
        <v>191</v>
      </c>
      <c r="E75" s="40" t="n">
        <f aca="false">SUMIFS(TB!$H:$H,TB!$I:$I,$A75)</f>
        <v>0</v>
      </c>
    </row>
    <row r="76" customFormat="false" ht="15" hidden="false" customHeight="false" outlineLevel="0" collapsed="false">
      <c r="A76" s="35" t="s">
        <v>134</v>
      </c>
      <c r="C76" s="81" t="s">
        <v>134</v>
      </c>
      <c r="D76" s="40" t="n">
        <f aca="false">SUMIFS(TB!$G:$G,TB!$I:$I,$A76)</f>
        <v>253.73</v>
      </c>
      <c r="E76" s="40" t="n">
        <f aca="false">SUMIFS(TB!$H:$H,TB!$I:$I,$A76)</f>
        <v>0</v>
      </c>
    </row>
    <row r="77" customFormat="false" ht="15" hidden="false" customHeight="false" outlineLevel="0" collapsed="false">
      <c r="A77" s="35" t="s">
        <v>135</v>
      </c>
      <c r="C77" s="81" t="s">
        <v>135</v>
      </c>
      <c r="D77" s="40" t="n">
        <f aca="false">SUMIFS(TB!$G:$G,TB!$I:$I,$A77)</f>
        <v>262.2364</v>
      </c>
      <c r="E77" s="40" t="n">
        <f aca="false">SUMIFS(TB!$H:$H,TB!$I:$I,$A77)</f>
        <v>0</v>
      </c>
    </row>
    <row r="78" customFormat="false" ht="15" hidden="false" customHeight="false" outlineLevel="0" collapsed="false">
      <c r="A78" s="35" t="s">
        <v>136</v>
      </c>
      <c r="C78" s="81" t="s">
        <v>136</v>
      </c>
      <c r="D78" s="40" t="n">
        <f aca="false">SUMIFS(TB!$G:$G,TB!$I:$I,$A78)</f>
        <v>700</v>
      </c>
      <c r="E78" s="40" t="n">
        <f aca="false">SUMIFS(TB!$H:$H,TB!$I:$I,$A78)</f>
        <v>0</v>
      </c>
    </row>
    <row r="79" customFormat="false" ht="15" hidden="false" customHeight="false" outlineLevel="0" collapsed="false">
      <c r="A79" s="35" t="s">
        <v>137</v>
      </c>
      <c r="C79" s="81" t="s">
        <v>137</v>
      </c>
      <c r="D79" s="40" t="n">
        <f aca="false">SUMIFS(TB!$G:$G,TB!$I:$I,$A79)</f>
        <v>0</v>
      </c>
      <c r="E79" s="40" t="n">
        <f aca="false">SUMIFS(TB!$H:$H,TB!$I:$I,$A79)</f>
        <v>25</v>
      </c>
    </row>
    <row r="80" customFormat="false" ht="15" hidden="false" customHeight="false" outlineLevel="0" collapsed="false">
      <c r="A80" s="35" t="s">
        <v>138</v>
      </c>
      <c r="C80" s="81" t="s">
        <v>259</v>
      </c>
      <c r="D80" s="40" t="n">
        <f aca="false">SUMIFS(TB!$G:$G,TB!$I:$I,$A80)</f>
        <v>0.2</v>
      </c>
      <c r="E80" s="40" t="n">
        <f aca="false">SUMIFS(TB!$H:$H,TB!$I:$I,$A80)</f>
        <v>0</v>
      </c>
    </row>
    <row r="81" customFormat="false" ht="15" hidden="false" customHeight="false" outlineLevel="0" collapsed="false">
      <c r="A81" s="35" t="s">
        <v>139</v>
      </c>
      <c r="C81" s="81" t="s">
        <v>139</v>
      </c>
      <c r="D81" s="40" t="n">
        <f aca="false">SUMIFS(TB!$G:$G,TB!$I:$I,$A81)</f>
        <v>21.64</v>
      </c>
      <c r="E81" s="40" t="n">
        <f aca="false">SUMIFS(TB!$H:$H,TB!$I:$I,$A81)</f>
        <v>7.8</v>
      </c>
    </row>
    <row r="82" customFormat="false" ht="15" hidden="false" customHeight="false" outlineLevel="0" collapsed="false">
      <c r="A82" s="35" t="s">
        <v>140</v>
      </c>
      <c r="C82" s="81" t="s">
        <v>140</v>
      </c>
      <c r="D82" s="40" t="n">
        <f aca="false">SUMIFS(TB!$G:$G,TB!$I:$I,$A82)</f>
        <v>120</v>
      </c>
      <c r="E82" s="40" t="n">
        <f aca="false">SUMIFS(TB!$H:$H,TB!$I:$I,$A82)</f>
        <v>0</v>
      </c>
    </row>
    <row r="83" customFormat="false" ht="15" hidden="false" customHeight="false" outlineLevel="0" collapsed="false">
      <c r="A83" s="35" t="s">
        <v>141</v>
      </c>
      <c r="C83" s="81" t="s">
        <v>141</v>
      </c>
      <c r="D83" s="40" t="n">
        <f aca="false">SUMIFS(TB!$G:$G,TB!$I:$I,$A83)</f>
        <v>1774.17</v>
      </c>
      <c r="E83" s="40" t="n">
        <f aca="false">SUMIFS(TB!$H:$H,TB!$I:$I,$A83)</f>
        <v>0</v>
      </c>
    </row>
    <row r="84" customFormat="false" ht="15" hidden="false" customHeight="false" outlineLevel="0" collapsed="false">
      <c r="A84" s="35" t="s">
        <v>142</v>
      </c>
      <c r="C84" s="81" t="s">
        <v>260</v>
      </c>
      <c r="D84" s="40" t="n">
        <f aca="false">SUMIFS(TB!$G:$G,TB!$I:$I,$A84)</f>
        <v>98.7195</v>
      </c>
      <c r="E84" s="40" t="n">
        <f aca="false">SUMIFS(TB!$H:$H,TB!$I:$I,$A84)</f>
        <v>0</v>
      </c>
    </row>
    <row r="85" customFormat="false" ht="15" hidden="false" customHeight="false" outlineLevel="0" collapsed="false">
      <c r="A85" s="35" t="s">
        <v>143</v>
      </c>
      <c r="C85" s="81" t="s">
        <v>143</v>
      </c>
      <c r="D85" s="40" t="n">
        <f aca="false">SUMIFS(TB!$G:$G,TB!$I:$I,$A85)</f>
        <v>805.18</v>
      </c>
      <c r="E85" s="40" t="n">
        <f aca="false">SUMIFS(TB!$H:$H,TB!$I:$I,$A85)</f>
        <v>0</v>
      </c>
    </row>
    <row r="86" customFormat="false" ht="15" hidden="false" customHeight="false" outlineLevel="0" collapsed="false">
      <c r="A86" s="35" t="s">
        <v>144</v>
      </c>
      <c r="C86" s="81" t="s">
        <v>261</v>
      </c>
      <c r="D86" s="40" t="n">
        <f aca="false">SUMIFS(TB!$G:$G,TB!$I:$I,$A86)</f>
        <v>25.3568</v>
      </c>
      <c r="E86" s="40" t="n">
        <f aca="false">SUMIFS(TB!$H:$H,TB!$I:$I,$A86)</f>
        <v>0</v>
      </c>
    </row>
    <row r="87" customFormat="false" ht="15" hidden="false" customHeight="false" outlineLevel="0" collapsed="false">
      <c r="A87" s="35" t="s">
        <v>145</v>
      </c>
      <c r="C87" s="81" t="s">
        <v>262</v>
      </c>
      <c r="D87" s="40" t="n">
        <f aca="false">SUMIFS(TB!$G:$G,TB!$I:$I,$A87)</f>
        <v>249.0109</v>
      </c>
      <c r="E87" s="40" t="n">
        <f aca="false">SUMIFS(TB!$H:$H,TB!$I:$I,$A87)</f>
        <v>0</v>
      </c>
    </row>
    <row r="88" customFormat="false" ht="15" hidden="false" customHeight="false" outlineLevel="0" collapsed="false">
      <c r="A88" s="35" t="s">
        <v>146</v>
      </c>
      <c r="C88" s="81" t="s">
        <v>146</v>
      </c>
      <c r="D88" s="40" t="n">
        <f aca="false">SUMIFS(TB!$G:$G,TB!$I:$I,$A88)</f>
        <v>9591.275</v>
      </c>
      <c r="E88" s="40" t="n">
        <f aca="false">SUMIFS(TB!$H:$H,TB!$I:$I,$A88)</f>
        <v>0</v>
      </c>
    </row>
    <row r="89" customFormat="false" ht="15" hidden="false" customHeight="false" outlineLevel="0" collapsed="false">
      <c r="A89" s="35" t="s">
        <v>147</v>
      </c>
      <c r="C89" s="81" t="s">
        <v>147</v>
      </c>
      <c r="D89" s="40" t="n">
        <f aca="false">SUMIFS(TB!$G:$G,TB!$I:$I,$A89)</f>
        <v>245.38</v>
      </c>
      <c r="E89" s="40" t="n">
        <f aca="false">SUMIFS(TB!$H:$H,TB!$I:$I,$A89)</f>
        <v>0</v>
      </c>
    </row>
    <row r="90" customFormat="false" ht="15" hidden="false" customHeight="false" outlineLevel="0" collapsed="false">
      <c r="A90" s="35" t="s">
        <v>148</v>
      </c>
      <c r="C90" s="81" t="s">
        <v>263</v>
      </c>
      <c r="D90" s="40" t="n">
        <f aca="false">SUMIFS(TB!$G:$G,TB!$I:$I,$A90)</f>
        <v>360</v>
      </c>
      <c r="E90" s="40" t="n">
        <f aca="false">SUMIFS(TB!$H:$H,TB!$I:$I,$A90)</f>
        <v>4793.2</v>
      </c>
    </row>
    <row r="91" customFormat="false" ht="15" hidden="false" customHeight="false" outlineLevel="0" collapsed="false">
      <c r="A91" s="35" t="s">
        <v>149</v>
      </c>
      <c r="C91" s="81" t="s">
        <v>149</v>
      </c>
      <c r="D91" s="40" t="n">
        <f aca="false">SUMIFS(TB!$G:$G,TB!$I:$I,$A91)</f>
        <v>430.36</v>
      </c>
      <c r="E91" s="40" t="n">
        <f aca="false">SUMIFS(TB!$H:$H,TB!$I:$I,$A91)</f>
        <v>0</v>
      </c>
    </row>
    <row r="92" customFormat="false" ht="15" hidden="false" customHeight="false" outlineLevel="0" collapsed="false">
      <c r="A92" s="35" t="s">
        <v>150</v>
      </c>
      <c r="C92" s="81" t="s">
        <v>150</v>
      </c>
      <c r="D92" s="40" t="n">
        <f aca="false">SUMIFS(TB!$G:$G,TB!$I:$I,$A92)</f>
        <v>10082.52</v>
      </c>
      <c r="E92" s="40" t="n">
        <f aca="false">SUMIFS(TB!$H:$H,TB!$I:$I,$A92)</f>
        <v>4500</v>
      </c>
    </row>
    <row r="93" customFormat="false" ht="15" hidden="false" customHeight="false" outlineLevel="0" collapsed="false">
      <c r="A93" s="35" t="s">
        <v>151</v>
      </c>
      <c r="C93" s="81" t="s">
        <v>264</v>
      </c>
      <c r="D93" s="40" t="n">
        <f aca="false">SUMIFS(TB!$G:$G,TB!$I:$I,$A93)</f>
        <v>0</v>
      </c>
      <c r="E93" s="40" t="n">
        <f aca="false">SUMIFS(TB!$H:$H,TB!$I:$I,$A93)</f>
        <v>350</v>
      </c>
    </row>
    <row r="94" customFormat="false" ht="15" hidden="false" customHeight="false" outlineLevel="0" collapsed="false">
      <c r="A94" s="35" t="s">
        <v>152</v>
      </c>
      <c r="C94" s="81" t="s">
        <v>152</v>
      </c>
      <c r="D94" s="40" t="n">
        <f aca="false">SUMIFS(TB!$G:$G,TB!$I:$I,$A94)</f>
        <v>0.0004</v>
      </c>
      <c r="E94" s="40" t="n">
        <f aca="false">SUMIFS(TB!$H:$H,TB!$I:$I,$A94)</f>
        <v>0</v>
      </c>
    </row>
    <row r="95" customFormat="false" ht="15" hidden="false" customHeight="false" outlineLevel="0" collapsed="false">
      <c r="A95" s="35" t="s">
        <v>153</v>
      </c>
      <c r="C95" s="81" t="s">
        <v>153</v>
      </c>
      <c r="D95" s="40" t="n">
        <f aca="false">SUMIFS(TB!$G:$G,TB!$I:$I,$A95)</f>
        <v>76.81</v>
      </c>
      <c r="E95" s="40" t="n">
        <f aca="false">SUMIFS(TB!$H:$H,TB!$I:$I,$A95)</f>
        <v>0</v>
      </c>
    </row>
    <row r="96" customFormat="false" ht="15" hidden="false" customHeight="false" outlineLevel="0" collapsed="false">
      <c r="A96" s="35" t="s">
        <v>154</v>
      </c>
      <c r="C96" s="81" t="s">
        <v>265</v>
      </c>
      <c r="D96" s="40" t="n">
        <f aca="false">SUMIFS(TB!$G:$G,TB!$I:$I,$A96)</f>
        <v>240</v>
      </c>
      <c r="E96" s="40" t="n">
        <f aca="false">SUMIFS(TB!$H:$H,TB!$I:$I,$A96)</f>
        <v>280</v>
      </c>
    </row>
    <row r="97" customFormat="false" ht="15" hidden="false" customHeight="false" outlineLevel="0" collapsed="false">
      <c r="A97" s="35" t="s">
        <v>155</v>
      </c>
      <c r="C97" s="81" t="s">
        <v>266</v>
      </c>
      <c r="D97" s="40" t="n">
        <f aca="false">SUMIFS(TB!$G:$G,TB!$I:$I,$A97)</f>
        <v>150</v>
      </c>
      <c r="E97" s="40" t="n">
        <f aca="false">SUMIFS(TB!$H:$H,TB!$I:$I,$A97)</f>
        <v>0</v>
      </c>
    </row>
    <row r="98" customFormat="false" ht="15" hidden="false" customHeight="false" outlineLevel="0" collapsed="false">
      <c r="A98" s="35" t="s">
        <v>156</v>
      </c>
      <c r="C98" s="81" t="s">
        <v>156</v>
      </c>
      <c r="D98" s="40" t="n">
        <f aca="false">SUMIFS(TB!$G:$G,TB!$I:$I,$A98)</f>
        <v>527.6</v>
      </c>
      <c r="E98" s="40" t="n">
        <f aca="false">SUMIFS(TB!$H:$H,TB!$I:$I,$A98)</f>
        <v>0</v>
      </c>
    </row>
    <row r="99" customFormat="false" ht="15" hidden="false" customHeight="false" outlineLevel="0" collapsed="false">
      <c r="A99" s="35" t="s">
        <v>157</v>
      </c>
      <c r="C99" s="81" t="s">
        <v>267</v>
      </c>
      <c r="D99" s="40" t="n">
        <f aca="false">SUMIFS(TB!$G:$G,TB!$I:$I,$A99)</f>
        <v>100</v>
      </c>
      <c r="E99" s="40" t="n">
        <f aca="false">SUMIFS(TB!$H:$H,TB!$I:$I,$A99)</f>
        <v>1250</v>
      </c>
    </row>
    <row r="100" customFormat="false" ht="4.5" hidden="false" customHeight="true" outlineLevel="0" collapsed="false"/>
    <row r="101" customFormat="false" ht="4.5" hidden="false" customHeight="true" outlineLevel="0" collapsed="false"/>
    <row r="102" customFormat="false" ht="4.5" hidden="false" customHeight="true" outlineLevel="0" collapsed="false"/>
    <row r="103" customFormat="false" ht="4.5" hidden="false" customHeight="true" outlineLevel="0" collapsed="false"/>
    <row r="104" customFormat="false" ht="4.5" hidden="false" customHeight="true" outlineLevel="0" collapsed="false"/>
    <row r="105" customFormat="false" ht="15" hidden="false" customHeight="false" outlineLevel="0" collapsed="false">
      <c r="C105" s="65" t="s">
        <v>42</v>
      </c>
      <c r="D105" s="42" t="n">
        <f aca="false">SUM(D72:D99)</f>
        <v>30595.9488</v>
      </c>
      <c r="E105" s="42" t="n">
        <f aca="false">SUM(E72:E99)</f>
        <v>11209.1152</v>
      </c>
    </row>
    <row r="106" customFormat="false" ht="4.5" hidden="false" customHeight="true" outlineLevel="0" collapsed="false"/>
  </sheetData>
  <printOptions headings="false" gridLines="false" gridLinesSet="true" horizontalCentered="false" verticalCentered="false"/>
  <pageMargins left="0.39375" right="0.39375" top="0.39375" bottom="0.39375"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rowBreaks count="1" manualBreakCount="1">
    <brk id="69" man="true" max="16383" min="0"/>
  </row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9.4"/>
    <col collapsed="false" customWidth="true" hidden="false" outlineLevel="0" max="2" min="2" style="0" width="46"/>
    <col collapsed="false" customWidth="true" hidden="false" outlineLevel="0" max="3" min="3" style="0" width="40"/>
    <col collapsed="false" customWidth="true" hidden="false" outlineLevel="0" max="4" min="4" style="0" width="26"/>
    <col collapsed="false" customWidth="true" hidden="false" outlineLevel="0" max="5" min="5" style="0" width="20"/>
  </cols>
  <sheetData>
    <row r="1" customFormat="false" ht="15" hidden="false" customHeight="false" outlineLevel="0" collapsed="false">
      <c r="A1" s="18" t="str">
        <f aca="false">'2.2 - 2.10'!B1</f>
        <v>DAIVBHARATHI TECHNOLOGIES LLP</v>
      </c>
    </row>
    <row r="2" customFormat="false" ht="15" hidden="false" customHeight="false" outlineLevel="0" collapsed="false">
      <c r="A2" s="18" t="str">
        <f aca="false">'2.2 - 2.10'!B2</f>
        <v>LLPIN: [TO BE PROVIDED]</v>
      </c>
    </row>
    <row r="3" customFormat="false" ht="35.25" hidden="false" customHeight="true" outlineLevel="0" collapsed="false">
      <c r="A3" s="28" t="str">
        <f aca="false">Master!B3</f>
        <v>No 63, 1st Floor, 1st Main, 7th Block, Koramangala VI Block, Bangalore 560095</v>
      </c>
    </row>
    <row r="4" customFormat="false" ht="15" hidden="false" customHeight="false" outlineLevel="0" collapsed="false">
      <c r="A4" s="18" t="str">
        <f aca="false">'2.2 - 2.10'!B4</f>
        <v>2. NOTES FORMING PART OF THE FINANCIAL STATEMENTS FOR THE YEAR ENDED MARCH 31, 2026</v>
      </c>
    </row>
    <row r="6" customFormat="false" ht="15" hidden="false" customHeight="false" outlineLevel="0" collapsed="false">
      <c r="A6" s="83" t="s">
        <v>268</v>
      </c>
      <c r="B6" s="83"/>
    </row>
    <row r="7" customFormat="false" ht="4.5" hidden="false" customHeight="true" outlineLevel="0" collapsed="false"/>
    <row r="8" customFormat="false" ht="15" hidden="false" customHeight="false" outlineLevel="0" collapsed="false">
      <c r="A8" s="18" t="s">
        <v>269</v>
      </c>
    </row>
    <row r="9" customFormat="false" ht="4.5" hidden="false" customHeight="true" outlineLevel="0" collapsed="false"/>
    <row r="10" customFormat="false" ht="15" hidden="false" customHeight="false" outlineLevel="0" collapsed="false">
      <c r="A10" s="84" t="s">
        <v>270</v>
      </c>
      <c r="B10" s="85" t="s">
        <v>271</v>
      </c>
      <c r="C10" s="68"/>
      <c r="D10" s="85" t="s">
        <v>272</v>
      </c>
      <c r="E10" s="68"/>
    </row>
    <row r="11" customFormat="false" ht="15" hidden="false" customHeight="false" outlineLevel="0" collapsed="false">
      <c r="A11" s="86" t="n">
        <v>1</v>
      </c>
      <c r="B11" s="58" t="str">
        <f aca="false">Master!B22</f>
        <v>Samartha Raghava Nagabhushanam</v>
      </c>
      <c r="D11" s="2" t="s">
        <v>201</v>
      </c>
    </row>
    <row r="12" customFormat="false" ht="15" hidden="false" customHeight="false" outlineLevel="0" collapsed="false">
      <c r="A12" s="87" t="n">
        <f aca="false">+A11+1</f>
        <v>2</v>
      </c>
      <c r="B12" s="82" t="str">
        <f aca="false">Master!B26</f>
        <v>[To be provided]</v>
      </c>
      <c r="C12" s="82"/>
      <c r="D12" s="88" t="s">
        <v>201</v>
      </c>
      <c r="E12" s="82"/>
    </row>
    <row r="13" customFormat="false" ht="4.5" hidden="false" customHeight="true" outlineLevel="0" collapsed="false"/>
    <row r="14" customFormat="false" ht="15" hidden="false" customHeight="false" outlineLevel="0" collapsed="false">
      <c r="A14" s="89" t="s">
        <v>273</v>
      </c>
      <c r="E14" s="90" t="str">
        <f aca="false">Master!B32</f>
        <v>(Amount in ₹ '00)</v>
      </c>
    </row>
    <row r="15" customFormat="false" ht="4.5" hidden="false" customHeight="true" outlineLevel="0" collapsed="false"/>
    <row r="16" customFormat="false" ht="15" hidden="false" customHeight="false" outlineLevel="0" collapsed="false">
      <c r="A16" s="91" t="s">
        <v>274</v>
      </c>
      <c r="B16" s="91" t="s">
        <v>275</v>
      </c>
      <c r="C16" s="79"/>
      <c r="D16" s="92" t="s">
        <v>276</v>
      </c>
      <c r="E16" s="92" t="s">
        <v>276</v>
      </c>
    </row>
    <row r="17" customFormat="false" ht="15" hidden="false" customHeight="false" outlineLevel="0" collapsed="false">
      <c r="A17" s="82"/>
      <c r="B17" s="82"/>
      <c r="C17" s="82"/>
      <c r="D17" s="93" t="str">
        <f aca="false">PROPER(Master!B33)</f>
        <v>March 31, 2026</v>
      </c>
      <c r="E17" s="93" t="str">
        <f aca="false">PROPER(Master!B34)</f>
        <v>March 31, 2025</v>
      </c>
    </row>
    <row r="18" customFormat="false" ht="15" hidden="false" customHeight="false" outlineLevel="0" collapsed="false">
      <c r="A18" s="94" t="n">
        <v>1</v>
      </c>
      <c r="B18" s="17" t="s">
        <v>277</v>
      </c>
    </row>
    <row r="19" customFormat="false" ht="15" hidden="false" customHeight="false" outlineLevel="0" collapsed="false">
      <c r="B19" s="95" t="str">
        <f aca="false">B11</f>
        <v>Samartha Raghava Nagabhushanam</v>
      </c>
      <c r="D19" s="96" t="n">
        <f aca="false">'2.1'!D11</f>
        <v>900</v>
      </c>
      <c r="E19" s="96" t="n">
        <f aca="false">'2.1'!E11</f>
        <v>900</v>
      </c>
    </row>
    <row r="20" customFormat="false" ht="4.5" hidden="false" customHeight="true" outlineLevel="0" collapsed="false"/>
    <row r="21" customFormat="false" ht="15" hidden="false" customHeight="false" outlineLevel="0" collapsed="false">
      <c r="A21" s="94" t="n">
        <v>2</v>
      </c>
      <c r="B21" s="17" t="s">
        <v>278</v>
      </c>
    </row>
    <row r="22" customFormat="false" ht="15" hidden="false" customHeight="false" outlineLevel="0" collapsed="false">
      <c r="B22" s="95" t="str">
        <f aca="false">B11</f>
        <v>Samartha Raghava Nagabhushanam</v>
      </c>
      <c r="D22" s="96" t="n">
        <f aca="false">'2.2 - 2.10'!D20</f>
        <v>24806.8</v>
      </c>
      <c r="E22" s="96" t="n">
        <f aca="false">'2.2 - 2.10'!E20</f>
        <v>7806.8</v>
      </c>
    </row>
    <row r="23" customFormat="false" ht="4.5" hidden="false" customHeight="true" outlineLevel="0" collapsed="false"/>
    <row r="24" customFormat="false" ht="23.85" hidden="false" customHeight="false" outlineLevel="0" collapsed="false">
      <c r="A24" s="94" t="n">
        <v>3</v>
      </c>
      <c r="B24" s="97" t="s">
        <v>279</v>
      </c>
    </row>
    <row r="25" customFormat="false" ht="15" hidden="false" customHeight="false" outlineLevel="0" collapsed="false">
      <c r="A25" s="82"/>
      <c r="B25" s="98" t="str">
        <f aca="false">B11</f>
        <v>Samartha Raghava Nagabhushanam</v>
      </c>
      <c r="C25" s="82"/>
      <c r="D25" s="99" t="n">
        <f aca="false">D22-E22</f>
        <v>17000</v>
      </c>
      <c r="E25" s="99" t="n">
        <f aca="false">E22-0</f>
        <v>7806.8</v>
      </c>
    </row>
    <row r="26" customFormat="false" ht="4.5" hidden="false" customHeight="true" outlineLevel="0" collapsed="false"/>
    <row r="27" customFormat="false" ht="42" hidden="false" customHeight="true" outlineLevel="0" collapsed="false">
      <c r="A27" s="100" t="s">
        <v>280</v>
      </c>
      <c r="B27" s="100"/>
      <c r="C27" s="100"/>
      <c r="D27" s="100"/>
      <c r="E27" s="100"/>
    </row>
    <row r="28" customFormat="false" ht="4.5" hidden="false" customHeight="true" outlineLevel="0" collapsed="false"/>
    <row r="29" customFormat="false" ht="15" hidden="false" customHeight="false" outlineLevel="0" collapsed="false">
      <c r="A29" s="8" t="s">
        <v>281</v>
      </c>
      <c r="B29" s="8"/>
    </row>
    <row r="30" customFormat="false" ht="33" hidden="false" customHeight="true" outlineLevel="0" collapsed="false">
      <c r="A30" s="101" t="s">
        <v>282</v>
      </c>
      <c r="B30" s="101"/>
      <c r="C30" s="101"/>
      <c r="D30" s="101"/>
      <c r="E30" s="101"/>
    </row>
    <row r="32" customFormat="false" ht="15" hidden="false" customHeight="false" outlineLevel="0" collapsed="false">
      <c r="A32" s="58" t="s">
        <v>199</v>
      </c>
      <c r="C32" s="2" t="s">
        <v>200</v>
      </c>
    </row>
    <row r="33" customFormat="false" ht="15" hidden="false" customHeight="false" outlineLevel="0" collapsed="false">
      <c r="A33" s="18" t="str">
        <f aca="false">"For "&amp;Master!B16</f>
        <v>For [To be provided]</v>
      </c>
      <c r="C33" s="7" t="str">
        <f aca="false">Master!B2</f>
        <v>Daivbharathi Technologies LLP</v>
      </c>
    </row>
    <row r="34" customFormat="false" ht="15" hidden="false" customHeight="false" outlineLevel="0" collapsed="false">
      <c r="A34" s="54" t="str">
        <f aca="false">"(FRN: "&amp;Master!B17&amp;")"</f>
        <v>(FRN: [To be provided])</v>
      </c>
    </row>
    <row r="38" customFormat="false" ht="15" hidden="false" customHeight="false" outlineLevel="0" collapsed="false">
      <c r="A38" s="102" t="str">
        <f aca="false">UPPER(Master!B13)</f>
        <v>[TO BE PROVIDED]</v>
      </c>
      <c r="C38" s="56" t="str">
        <f aca="false">UPPER(Master!B22)</f>
        <v>SAMARTHA RAGHAVA NAGABHUSHANAM</v>
      </c>
      <c r="D38" s="56" t="str">
        <f aca="false">UPPER(Master!B26)</f>
        <v>[TO BE PROVIDED]</v>
      </c>
    </row>
    <row r="39" customFormat="false" ht="15" hidden="false" customHeight="false" outlineLevel="0" collapsed="false">
      <c r="A39" s="54" t="str">
        <f aca="false">PROPER(Master!B14)</f>
        <v>[To Be Provided]</v>
      </c>
      <c r="C39" s="57" t="s">
        <v>201</v>
      </c>
      <c r="D39" s="57" t="str">
        <f aca="false">C39</f>
        <v>Designated Partner</v>
      </c>
    </row>
    <row r="40" customFormat="false" ht="15" hidden="false" customHeight="false" outlineLevel="0" collapsed="false">
      <c r="A40" s="58" t="str">
        <f aca="false">"Membership No. "&amp;Master!B15</f>
        <v>Membership No. [To be provided]</v>
      </c>
      <c r="C40" s="2" t="str">
        <f aca="false">"DPIN: "&amp;Master!B23</f>
        <v>DPIN: [To be provided]</v>
      </c>
      <c r="D40" s="2" t="str">
        <f aca="false">"DPIN: "&amp;Master!B27</f>
        <v>DPIN: [To be provided]</v>
      </c>
    </row>
    <row r="41" customFormat="false" ht="15" hidden="false" customHeight="false" outlineLevel="0" collapsed="false">
      <c r="A41" s="58" t="str">
        <f aca="false">"UDIN: "&amp;Master!B18</f>
        <v>UDIN: [To be provided]</v>
      </c>
    </row>
    <row r="42" customFormat="false" ht="15" hidden="false" customHeight="false" outlineLevel="0" collapsed="false">
      <c r="A42" s="2" t="str">
        <f aca="false">Master!B19</f>
        <v>[To be provided]</v>
      </c>
      <c r="C42" s="2" t="str">
        <f aca="false">Master!B24</f>
        <v>[To be provided]</v>
      </c>
      <c r="D42" s="2" t="str">
        <f aca="false">Master!B28</f>
        <v>[To be provided]</v>
      </c>
    </row>
    <row r="43" customFormat="false" ht="15" hidden="false" customHeight="false" outlineLevel="0" collapsed="false">
      <c r="A43" s="2" t="str">
        <f aca="false">Master!B20</f>
        <v>[To be provided]</v>
      </c>
      <c r="C43" s="2" t="str">
        <f aca="false">Master!B25</f>
        <v>[To be provided]</v>
      </c>
      <c r="D43" s="2" t="str">
        <f aca="false">Master!B29</f>
        <v>[To be provided]</v>
      </c>
    </row>
  </sheetData>
  <mergeCells count="4">
    <mergeCell ref="A6:B6"/>
    <mergeCell ref="A27:E27"/>
    <mergeCell ref="A29:B29"/>
    <mergeCell ref="A30:E30"/>
  </mergeCells>
  <printOptions headings="false" gridLines="false" gridLinesSet="true" horizontalCentered="false" verticalCentered="false"/>
  <pageMargins left="0.39375" right="0.39375" top="0.39375" bottom="0.39375"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26"/>
    <col collapsed="false" customWidth="true" hidden="false" outlineLevel="0" max="3" min="3" style="0" width="70"/>
    <col collapsed="false" customWidth="true" hidden="false" outlineLevel="0" max="4" min="4" style="0" width="60"/>
  </cols>
  <sheetData>
    <row r="1" customFormat="false" ht="15" hidden="false" customHeight="false" outlineLevel="0" collapsed="false">
      <c r="B1" s="18" t="s">
        <v>283</v>
      </c>
    </row>
    <row r="2" customFormat="false" ht="15" hidden="false" customHeight="false" outlineLevel="0" collapsed="false">
      <c r="B2" s="18" t="str">
        <f aca="false">Master!B2&amp;" - FY "&amp;Master!B5</f>
        <v>Daivbharathi Technologies LLP - FY 2025-26</v>
      </c>
    </row>
    <row r="4" customFormat="false" ht="15" hidden="false" customHeight="false" outlineLevel="0" collapsed="false">
      <c r="A4" s="103" t="s">
        <v>284</v>
      </c>
      <c r="B4" s="103" t="s">
        <v>285</v>
      </c>
      <c r="C4" s="103" t="s">
        <v>286</v>
      </c>
      <c r="D4" s="103" t="s">
        <v>287</v>
      </c>
    </row>
    <row r="5" customFormat="false" ht="60" hidden="false" customHeight="true" outlineLevel="0" collapsed="false">
      <c r="A5" s="104" t="n">
        <v>1</v>
      </c>
      <c r="B5" s="105" t="s">
        <v>6</v>
      </c>
      <c r="C5" s="106" t="s">
        <v>288</v>
      </c>
      <c r="D5" s="106" t="s">
        <v>289</v>
      </c>
    </row>
    <row r="6" customFormat="false" ht="60" hidden="false" customHeight="true" outlineLevel="0" collapsed="false">
      <c r="A6" s="104" t="n">
        <v>2</v>
      </c>
      <c r="B6" s="105" t="s">
        <v>290</v>
      </c>
      <c r="C6" s="106" t="s">
        <v>291</v>
      </c>
      <c r="D6" s="106" t="s">
        <v>292</v>
      </c>
    </row>
    <row r="7" customFormat="false" ht="75" hidden="false" customHeight="true" outlineLevel="0" collapsed="false">
      <c r="A7" s="104" t="n">
        <v>3</v>
      </c>
      <c r="B7" s="105" t="s">
        <v>293</v>
      </c>
      <c r="C7" s="106" t="s">
        <v>294</v>
      </c>
      <c r="D7" s="106" t="s">
        <v>295</v>
      </c>
    </row>
    <row r="8" customFormat="false" ht="105" hidden="false" customHeight="true" outlineLevel="0" collapsed="false">
      <c r="A8" s="104" t="n">
        <v>4</v>
      </c>
      <c r="B8" s="105" t="s">
        <v>296</v>
      </c>
      <c r="C8" s="106" t="s">
        <v>297</v>
      </c>
      <c r="D8" s="106" t="s">
        <v>298</v>
      </c>
    </row>
    <row r="9" customFormat="false" ht="75" hidden="false" customHeight="true" outlineLevel="0" collapsed="false">
      <c r="A9" s="104" t="n">
        <v>5</v>
      </c>
      <c r="B9" s="105" t="s">
        <v>299</v>
      </c>
      <c r="C9" s="106" t="s">
        <v>300</v>
      </c>
      <c r="D9" s="106" t="s">
        <v>301</v>
      </c>
    </row>
    <row r="10" customFormat="false" ht="60" hidden="false" customHeight="true" outlineLevel="0" collapsed="false">
      <c r="A10" s="104" t="n">
        <v>6</v>
      </c>
      <c r="B10" s="105" t="s">
        <v>302</v>
      </c>
      <c r="C10" s="106" t="s">
        <v>303</v>
      </c>
      <c r="D10" s="106" t="s">
        <v>304</v>
      </c>
    </row>
    <row r="11" customFormat="false" ht="75" hidden="false" customHeight="true" outlineLevel="0" collapsed="false">
      <c r="A11" s="104" t="n">
        <v>7</v>
      </c>
      <c r="B11" s="105" t="s">
        <v>241</v>
      </c>
      <c r="C11" s="106" t="s">
        <v>305</v>
      </c>
      <c r="D11" s="106" t="s">
        <v>306</v>
      </c>
    </row>
    <row r="12" customFormat="false" ht="75" hidden="false" customHeight="true" outlineLevel="0" collapsed="false">
      <c r="A12" s="104" t="n">
        <v>8</v>
      </c>
      <c r="B12" s="105" t="s">
        <v>307</v>
      </c>
      <c r="C12" s="106" t="s">
        <v>308</v>
      </c>
      <c r="D12" s="106" t="s">
        <v>309</v>
      </c>
    </row>
    <row r="13" customFormat="false" ht="60" hidden="false" customHeight="true" outlineLevel="0" collapsed="false">
      <c r="A13" s="104" t="n">
        <v>9</v>
      </c>
      <c r="B13" s="105" t="s">
        <v>310</v>
      </c>
      <c r="C13" s="106" t="s">
        <v>311</v>
      </c>
      <c r="D13" s="106" t="s">
        <v>312</v>
      </c>
    </row>
    <row r="14" customFormat="false" ht="60" hidden="false" customHeight="true" outlineLevel="0" collapsed="false">
      <c r="A14" s="104" t="n">
        <v>10</v>
      </c>
      <c r="B14" s="105" t="s">
        <v>313</v>
      </c>
      <c r="C14" s="106" t="s">
        <v>314</v>
      </c>
      <c r="D14" s="106" t="s">
        <v>315</v>
      </c>
    </row>
    <row r="15" customFormat="false" ht="75" hidden="false" customHeight="true" outlineLevel="0" collapsed="false">
      <c r="A15" s="104" t="n">
        <v>11</v>
      </c>
      <c r="B15" s="105" t="s">
        <v>316</v>
      </c>
      <c r="C15" s="106" t="s">
        <v>317</v>
      </c>
      <c r="D15" s="106" t="s">
        <v>318</v>
      </c>
    </row>
    <row r="16" customFormat="false" ht="45" hidden="false" customHeight="true" outlineLevel="0" collapsed="false">
      <c r="A16" s="104" t="n">
        <v>12</v>
      </c>
      <c r="B16" s="105" t="s">
        <v>319</v>
      </c>
      <c r="C16" s="106" t="s">
        <v>320</v>
      </c>
      <c r="D16" s="106" t="s">
        <v>321</v>
      </c>
    </row>
    <row r="17" customFormat="false" ht="60" hidden="false" customHeight="true" outlineLevel="0" collapsed="false">
      <c r="A17" s="104" t="n">
        <v>13</v>
      </c>
      <c r="B17" s="105" t="s">
        <v>322</v>
      </c>
      <c r="C17" s="106" t="s">
        <v>323</v>
      </c>
      <c r="D17" s="106" t="s">
        <v>324</v>
      </c>
    </row>
    <row r="18" customFormat="false" ht="45" hidden="false" customHeight="true" outlineLevel="0" collapsed="false">
      <c r="A18" s="104" t="n">
        <v>14</v>
      </c>
      <c r="B18" s="105" t="s">
        <v>325</v>
      </c>
      <c r="C18" s="106" t="s">
        <v>326</v>
      </c>
      <c r="D18" s="106" t="s">
        <v>327</v>
      </c>
    </row>
    <row r="19" customFormat="false" ht="60" hidden="false" customHeight="true" outlineLevel="0" collapsed="false">
      <c r="A19" s="104" t="n">
        <v>15</v>
      </c>
      <c r="B19" s="105" t="s">
        <v>328</v>
      </c>
      <c r="C19" s="106" t="s">
        <v>329</v>
      </c>
      <c r="D19" s="106" t="s">
        <v>330</v>
      </c>
    </row>
    <row r="20" customFormat="false" ht="90" hidden="false" customHeight="true" outlineLevel="0" collapsed="false">
      <c r="A20" s="104" t="n">
        <v>16</v>
      </c>
      <c r="B20" s="105" t="s">
        <v>331</v>
      </c>
      <c r="C20" s="106" t="s">
        <v>332</v>
      </c>
      <c r="D20" s="106" t="s">
        <v>333</v>
      </c>
    </row>
    <row r="21" customFormat="false" ht="45" hidden="false" customHeight="true" outlineLevel="0" collapsed="false">
      <c r="A21" s="104" t="n">
        <v>17</v>
      </c>
      <c r="B21" s="105" t="s">
        <v>116</v>
      </c>
      <c r="C21" s="106" t="s">
        <v>334</v>
      </c>
      <c r="D21" s="106" t="s">
        <v>335</v>
      </c>
    </row>
    <row r="22" customFormat="false" ht="45" hidden="false" customHeight="true" outlineLevel="0" collapsed="false">
      <c r="A22" s="104" t="n">
        <v>18</v>
      </c>
      <c r="B22" s="105" t="s">
        <v>336</v>
      </c>
      <c r="C22" s="106" t="s">
        <v>337</v>
      </c>
      <c r="D22" s="106" t="s">
        <v>338</v>
      </c>
    </row>
    <row r="23" customFormat="false" ht="60" hidden="false" customHeight="true" outlineLevel="0" collapsed="false">
      <c r="A23" s="104" t="n">
        <v>19</v>
      </c>
      <c r="B23" s="105" t="s">
        <v>339</v>
      </c>
      <c r="C23" s="106" t="s">
        <v>340</v>
      </c>
      <c r="D23" s="106" t="s">
        <v>341</v>
      </c>
    </row>
    <row r="24" customFormat="false" ht="60" hidden="false" customHeight="true" outlineLevel="0" collapsed="false">
      <c r="A24" s="104" t="n">
        <v>20</v>
      </c>
      <c r="B24" s="105" t="s">
        <v>342</v>
      </c>
      <c r="C24" s="106" t="s">
        <v>343</v>
      </c>
      <c r="D24" s="106" t="s">
        <v>344</v>
      </c>
    </row>
  </sheetData>
  <printOptions headings="false" gridLines="false" gridLinesSet="true" horizontalCentered="false" verticalCentered="false"/>
  <pageMargins left="0.39375" right="0.39375" top="0.39375" bottom="0.3937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2026-09-16T10:38:57Z</dcterms:created>
  <dc:creator>openpyxl</dc:creator>
  <dc:description/>
  <dc:language>en-US</dc:language>
  <cp:lastModifiedBy/>
  <dcterms:modified xsi:type="dcterms:W3CDTF">2026-09-16T10:38:57Z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
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 vs Win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9D9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7" customWidth="1" min="3" max="3"/>
    <col width="17" customWidth="1" min="4" max="4"/>
    <col width="15" customWidth="1" min="5" max="5"/>
    <col width="11" customWidth="1" min="6" max="6"/>
    <col width="70" customWidth="1" min="7" max="7"/>
  </cols>
  <sheetData>
    <row r="1">
      <c r="A1" s="1" t="inlineStr">
        <is>
          <t>Star Fandom India LLP (LLPIN: ACH-8938)</t>
        </is>
      </c>
    </row>
    <row r="2">
      <c r="A2" s="2" t="inlineStr">
        <is>
          <t>Reconciliation: FY 2025-26 financial statements (PDF dated 31-08-2026) vs Winman ITR-5 export (A.Y. 2026-27)</t>
        </is>
      </c>
    </row>
    <row r="3">
      <c r="A3" s="3" t="inlineStr">
        <is>
          <t>Amount in Rs. Blue = figures read from source documents; black = formulas. Difference = Financials - Winman.</t>
        </is>
      </c>
    </row>
    <row r="5">
      <c r="A5" s="4" t="inlineStr">
        <is>
          <t>Section</t>
        </is>
      </c>
      <c r="B5" s="4" t="inlineStr">
        <is>
          <t>Particulars</t>
        </is>
      </c>
      <c r="C5" s="4" t="inlineStr">
        <is>
          <t>As per Financials</t>
        </is>
      </c>
      <c r="D5" s="4" t="inlineStr">
        <is>
          <t>As per Winman</t>
        </is>
      </c>
      <c r="E5" s="4" t="inlineStr">
        <is>
          <t>Difference</t>
        </is>
      </c>
      <c r="F5" s="4" t="inlineStr">
        <is>
          <t>Status</t>
        </is>
      </c>
      <c r="G5" s="4" t="inlineStr">
        <is>
          <t>Remarks</t>
        </is>
      </c>
    </row>
    <row r="6">
      <c r="A6" s="5" t="inlineStr">
        <is>
          <t>BALANCE SHEET - LIABILITIES</t>
        </is>
      </c>
    </row>
    <row r="7">
      <c r="A7" s="6" t="inlineStr">
        <is>
          <t>Liabilities</t>
        </is>
      </c>
      <c r="B7" s="7" t="inlineStr">
        <is>
          <t>Partners' contribution</t>
        </is>
      </c>
      <c r="C7" s="8" t="n">
        <v>200000</v>
      </c>
      <c r="D7" s="8" t="n">
        <v>0</v>
      </c>
      <c r="E7" s="9">
        <f>C7-D7</f>
        <v/>
      </c>
      <c r="F7" s="6">
        <f>IF(E7=0,"Matches","Mismatch")</f>
        <v/>
      </c>
      <c r="G7" s="7" t="inlineStr">
        <is>
          <t>Winman 'Partners' capital' is blank. Financials: Rs 2,00,000 as per your instruction (same as FY 2024-25).</t>
        </is>
      </c>
    </row>
    <row r="8">
      <c r="A8" s="6" t="inlineStr">
        <is>
          <t>Liabilities</t>
        </is>
      </c>
      <c r="B8" s="7" t="inlineStr">
        <is>
          <t>Partners' current account (loss share)</t>
        </is>
      </c>
      <c r="C8" s="8" t="n">
        <v>-13721</v>
      </c>
      <c r="D8" s="8" t="n">
        <v>0</v>
      </c>
      <c r="E8" s="9">
        <f>C8-D8</f>
        <v/>
      </c>
      <c r="F8" s="6">
        <f>IF(E8=0,"Matches","Mismatch")</f>
        <v/>
      </c>
      <c r="G8" s="7" t="inlineStr">
        <is>
          <t>Financials transfer the loss to partners 20:50:15:15. Winman shows it instead as 'Profit and loss A/c (Dr)' on the assets side (see below).</t>
        </is>
      </c>
    </row>
    <row r="9">
      <c r="A9" s="6" t="inlineStr">
        <is>
          <t>Liabilities</t>
        </is>
      </c>
      <c r="B9" s="7" t="inlineStr">
        <is>
          <t>Unsecured loan - Samartha Raghava Nagabhushanam</t>
        </is>
      </c>
      <c r="C9" s="8" t="n">
        <v>250000</v>
      </c>
      <c r="D9" s="8" t="n">
        <v>0</v>
      </c>
      <c r="E9" s="9">
        <f>C9-D9</f>
        <v/>
      </c>
      <c r="F9" s="6">
        <f>IF(E9=0,"Matches","Mismatch")</f>
        <v/>
      </c>
      <c r="G9" s="7" t="inlineStr">
        <is>
          <t>Not in Winman at all. Financials: long-term, interest-free, as per your instruction.</t>
        </is>
      </c>
    </row>
    <row r="10">
      <c r="A10" s="6" t="inlineStr">
        <is>
          <t>Liabilities</t>
        </is>
      </c>
      <c r="B10" s="7" t="inlineStr">
        <is>
          <t>Trade creditors / Trade payables</t>
        </is>
      </c>
      <c r="C10" s="8" t="n">
        <v>28229</v>
      </c>
      <c r="D10" s="8" t="n">
        <v>28229</v>
      </c>
      <c r="E10" s="9">
        <f>C10-D10</f>
        <v/>
      </c>
      <c r="F10" s="6">
        <f>IF(E10=0,"Matches","Mismatch")</f>
        <v/>
      </c>
      <c r="G10" s="7" t="inlineStr"/>
    </row>
    <row r="11">
      <c r="A11" s="6" t="inlineStr">
        <is>
          <t>Liabilities</t>
        </is>
      </c>
      <c r="B11" s="7" t="inlineStr">
        <is>
          <t>Other payables</t>
        </is>
      </c>
      <c r="C11" s="8" t="n">
        <v>8950</v>
      </c>
      <c r="D11" s="8" t="n">
        <v>8950</v>
      </c>
      <c r="E11" s="9">
        <f>C11-D11</f>
        <v/>
      </c>
      <c r="F11" s="6">
        <f>IF(E11=0,"Matches","Mismatch")</f>
        <v/>
      </c>
      <c r="G11" s="7" t="inlineStr"/>
    </row>
    <row r="12">
      <c r="A12" s="10" t="inlineStr">
        <is>
          <t>TOTAL</t>
        </is>
      </c>
      <c r="B12" s="11" t="inlineStr">
        <is>
          <t>Total liabilities</t>
        </is>
      </c>
      <c r="C12" s="12">
        <f>SUM(C7:C11)</f>
        <v/>
      </c>
      <c r="D12" s="12">
        <f>SUM(D7:D11)</f>
        <v/>
      </c>
      <c r="E12" s="13">
        <f>C12-D12</f>
        <v/>
      </c>
      <c r="F12" s="10">
        <f>IF(E12=0,"Matches","Mismatch")</f>
        <v/>
      </c>
      <c r="G12" s="11" t="inlineStr"/>
    </row>
    <row r="13">
      <c r="A13" s="5" t="inlineStr">
        <is>
          <t>BALANCE SHEET - ASSETS</t>
        </is>
      </c>
    </row>
    <row r="14">
      <c r="A14" s="6" t="inlineStr">
        <is>
          <t>Assets</t>
        </is>
      </c>
      <c r="B14" s="7" t="inlineStr">
        <is>
          <t>Advances / Short-term loans and advances</t>
        </is>
      </c>
      <c r="C14" s="8" t="n">
        <v>409311</v>
      </c>
      <c r="D14" s="8" t="n">
        <v>409311</v>
      </c>
      <c r="E14" s="9">
        <f>C14-D14</f>
        <v/>
      </c>
      <c r="F14" s="6">
        <f>IF(E14=0,"Matches","Mismatch")</f>
        <v/>
      </c>
      <c r="G14" s="7" t="inlineStr"/>
    </row>
    <row r="15">
      <c r="A15" s="6" t="inlineStr">
        <is>
          <t>Assets</t>
        </is>
      </c>
      <c r="B15" s="7" t="inlineStr">
        <is>
          <t>Balances with banks</t>
        </is>
      </c>
      <c r="C15" s="8" t="n">
        <v>45672</v>
      </c>
      <c r="D15" s="8" t="n">
        <v>45672</v>
      </c>
      <c r="E15" s="9">
        <f>C15-D15</f>
        <v/>
      </c>
      <c r="F15" s="6">
        <f>IF(E15=0,"Matches","Mismatch")</f>
        <v/>
      </c>
      <c r="G15" s="7" t="inlineStr"/>
    </row>
    <row r="16">
      <c r="A16" s="6" t="inlineStr">
        <is>
          <t>Assets</t>
        </is>
      </c>
      <c r="B16" s="7" t="inlineStr">
        <is>
          <t>Cash in hand</t>
        </is>
      </c>
      <c r="C16" s="8" t="n">
        <v>18475</v>
      </c>
      <c r="D16" s="8" t="n">
        <v>0</v>
      </c>
      <c r="E16" s="9">
        <f>C16-D16</f>
        <v/>
      </c>
      <c r="F16" s="6">
        <f>IF(E16=0,"Matches","Mismatch")</f>
        <v/>
      </c>
      <c r="G16" s="7" t="inlineStr">
        <is>
          <t>You confirmed Rs 18,475 is cash. Winman has it under 'Others'.</t>
        </is>
      </c>
    </row>
    <row r="17">
      <c r="A17" s="6" t="inlineStr">
        <is>
          <t>Assets</t>
        </is>
      </c>
      <c r="B17" s="7" t="inlineStr">
        <is>
          <t>Cash - Others</t>
        </is>
      </c>
      <c r="C17" s="8" t="n">
        <v>0</v>
      </c>
      <c r="D17" s="8" t="n">
        <v>18475</v>
      </c>
      <c r="E17" s="9">
        <f>C17-D17</f>
        <v/>
      </c>
      <c r="F17" s="6">
        <f>IF(E17=0,"Matches","Mismatch")</f>
        <v/>
      </c>
      <c r="G17" s="7" t="inlineStr">
        <is>
          <t>See row above.</t>
        </is>
      </c>
    </row>
    <row r="18">
      <c r="A18" s="6" t="inlineStr">
        <is>
          <t>Assets</t>
        </is>
      </c>
      <c r="B18" s="7" t="inlineStr">
        <is>
          <t>Profit and loss A/c (Dr)</t>
        </is>
      </c>
      <c r="C18" s="8" t="n">
        <v>0</v>
      </c>
      <c r="D18" s="8" t="n">
        <v>13721</v>
      </c>
      <c r="E18" s="9">
        <f>C18-D18</f>
        <v/>
      </c>
      <c r="F18" s="6">
        <f>IF(E18=0,"Matches","Mismatch")</f>
        <v/>
      </c>
      <c r="G18" s="7" t="inlineStr">
        <is>
          <t>Financials net this against partners' current accounts (see liabilities).</t>
        </is>
      </c>
    </row>
    <row r="19">
      <c r="A19" s="10" t="inlineStr">
        <is>
          <t>TOTAL</t>
        </is>
      </c>
      <c r="B19" s="11" t="inlineStr">
        <is>
          <t>Total assets</t>
        </is>
      </c>
      <c r="C19" s="12">
        <f>SUM(C14:C18)</f>
        <v/>
      </c>
      <c r="D19" s="12">
        <f>SUM(D14:D18)</f>
        <v/>
      </c>
      <c r="E19" s="13">
        <f>C19-D19</f>
        <v/>
      </c>
      <c r="F19" s="10">
        <f>IF(E19=0,"Matches","Mismatch")</f>
        <v/>
      </c>
      <c r="G19" s="11" t="inlineStr"/>
    </row>
    <row r="20">
      <c r="A20" s="10" t="inlineStr">
        <is>
          <t>CHECK</t>
        </is>
      </c>
      <c r="B20" s="11" t="inlineStr">
        <is>
          <t>Assets less liabilities (should be nil)</t>
        </is>
      </c>
      <c r="C20" s="12">
        <f>C19-C12</f>
        <v/>
      </c>
      <c r="D20" s="12">
        <f>D19-D12</f>
        <v/>
      </c>
      <c r="E20" s="13">
        <f>C20-D20</f>
        <v/>
      </c>
      <c r="F20" s="10">
        <f>IF(E20=0,"Matches","Mismatch")</f>
        <v/>
      </c>
      <c r="G20" s="11" t="inlineStr">
        <is>
          <t>Winman does not balance: assets exceed liabilities by Rs 4,50,000 - consistent with capital of Rs 4,50,000 missing from the export.</t>
        </is>
      </c>
    </row>
    <row r="21">
      <c r="A21" s="5" t="inlineStr">
        <is>
          <t>PROFIT AND LOSS</t>
        </is>
      </c>
    </row>
    <row r="22">
      <c r="A22" s="6" t="inlineStr">
        <is>
          <t>Income</t>
        </is>
      </c>
      <c r="B22" s="7" t="inlineStr">
        <is>
          <t>Sale of products / goods</t>
        </is>
      </c>
      <c r="C22" s="8" t="n">
        <v>0</v>
      </c>
      <c r="D22" s="8" t="n">
        <v>923729</v>
      </c>
      <c r="E22" s="9">
        <f>C22-D22</f>
        <v/>
      </c>
      <c r="F22" s="6">
        <f>IF(E22=0,"Matches","Mismatch")</f>
        <v/>
      </c>
      <c r="G22" s="7" t="inlineStr">
        <is>
          <t>You confirmed this is income from services. Winman has it under sale of products.</t>
        </is>
      </c>
    </row>
    <row r="23">
      <c r="A23" s="6" t="inlineStr">
        <is>
          <t>Income</t>
        </is>
      </c>
      <c r="B23" s="7" t="inlineStr">
        <is>
          <t>Sale of services</t>
        </is>
      </c>
      <c r="C23" s="8" t="n">
        <v>923729</v>
      </c>
      <c r="D23" s="8" t="n">
        <v>0</v>
      </c>
      <c r="E23" s="9">
        <f>C23-D23</f>
        <v/>
      </c>
      <c r="F23" s="6">
        <f>IF(E23=0,"Matches","Mismatch")</f>
        <v/>
      </c>
      <c r="G23" s="7" t="inlineStr">
        <is>
          <t>See row above.</t>
        </is>
      </c>
    </row>
    <row r="24">
      <c r="A24" s="10" t="inlineStr">
        <is>
          <t>TOTAL</t>
        </is>
      </c>
      <c r="B24" s="11" t="inlineStr">
        <is>
          <t>Total revenue</t>
        </is>
      </c>
      <c r="C24" s="12">
        <f>SUM(C22:C23)</f>
        <v/>
      </c>
      <c r="D24" s="12">
        <f>SUM(D22:D23)</f>
        <v/>
      </c>
      <c r="E24" s="13">
        <f>C24-D24</f>
        <v/>
      </c>
      <c r="F24" s="10">
        <f>IF(E24=0,"Matches","Mismatch")</f>
        <v/>
      </c>
      <c r="G24" s="11" t="inlineStr"/>
    </row>
    <row r="25">
      <c r="A25" s="6" t="inlineStr">
        <is>
          <t>Expense</t>
        </is>
      </c>
      <c r="B25" s="7" t="inlineStr">
        <is>
          <t>Advertisement</t>
        </is>
      </c>
      <c r="C25" s="8" t="n">
        <v>304000</v>
      </c>
      <c r="D25" s="8" t="n">
        <v>304000</v>
      </c>
      <c r="E25" s="9">
        <f>C25-D25</f>
        <v/>
      </c>
      <c r="F25" s="6">
        <f>IF(E25=0,"Matches","Mismatch")</f>
        <v/>
      </c>
      <c r="G25" s="7" t="inlineStr"/>
    </row>
    <row r="26">
      <c r="A26" s="6" t="inlineStr">
        <is>
          <t>Expense</t>
        </is>
      </c>
      <c r="B26" s="7" t="inlineStr">
        <is>
          <t>Telephone</t>
        </is>
      </c>
      <c r="C26" s="8" t="n">
        <v>3918</v>
      </c>
      <c r="D26" s="8" t="n">
        <v>3918</v>
      </c>
      <c r="E26" s="9">
        <f>C26-D26</f>
        <v/>
      </c>
      <c r="F26" s="6">
        <f>IF(E26=0,"Matches","Mismatch")</f>
        <v/>
      </c>
      <c r="G26" s="7" t="inlineStr"/>
    </row>
    <row r="27">
      <c r="A27" s="6" t="inlineStr">
        <is>
          <t>Expense</t>
        </is>
      </c>
      <c r="B27" s="7" t="inlineStr">
        <is>
          <t>Bank charges</t>
        </is>
      </c>
      <c r="C27" s="8" t="n">
        <v>1018</v>
      </c>
      <c r="D27" s="8" t="n">
        <v>1018</v>
      </c>
      <c r="E27" s="9">
        <f>C27-D27</f>
        <v/>
      </c>
      <c r="F27" s="6">
        <f>IF(E27=0,"Matches","Mismatch")</f>
        <v/>
      </c>
      <c r="G27" s="7" t="inlineStr">
        <is>
          <t>Winman: inside 'Other expenses' (total 6,29,530).</t>
        </is>
      </c>
    </row>
    <row r="28">
      <c r="A28" s="6" t="inlineStr">
        <is>
          <t>Expense</t>
        </is>
      </c>
      <c r="B28" s="7" t="inlineStr">
        <is>
          <t>Branding and promotions</t>
        </is>
      </c>
      <c r="C28" s="8" t="n">
        <v>170688</v>
      </c>
      <c r="D28" s="8" t="n">
        <v>170688</v>
      </c>
      <c r="E28" s="9">
        <f>C28-D28</f>
        <v/>
      </c>
      <c r="F28" s="6">
        <f>IF(E28=0,"Matches","Mismatch")</f>
        <v/>
      </c>
      <c r="G28" s="7" t="inlineStr">
        <is>
          <t>Winman: inside 'Other expenses'.</t>
        </is>
      </c>
    </row>
    <row r="29">
      <c r="A29" s="6" t="inlineStr">
        <is>
          <t>Expense</t>
        </is>
      </c>
      <c r="B29" s="7" t="inlineStr">
        <is>
          <t>Interest on TDS</t>
        </is>
      </c>
      <c r="C29" s="8" t="n">
        <v>1824</v>
      </c>
      <c r="D29" s="8" t="n">
        <v>1824</v>
      </c>
      <c r="E29" s="9">
        <f>C29-D29</f>
        <v/>
      </c>
      <c r="F29" s="6">
        <f>IF(E29=0,"Matches","Mismatch")</f>
        <v/>
      </c>
      <c r="G29" s="7" t="inlineStr">
        <is>
          <t>Winman: inside 'Other expenses'.</t>
        </is>
      </c>
    </row>
    <row r="30">
      <c r="A30" s="6" t="inlineStr">
        <is>
          <t>Expense</t>
        </is>
      </c>
      <c r="B30" s="7" t="inlineStr">
        <is>
          <t>Rates and taxes</t>
        </is>
      </c>
      <c r="C30" s="8" t="n">
        <v>6000</v>
      </c>
      <c r="D30" s="8" t="n">
        <v>6000</v>
      </c>
      <c r="E30" s="9">
        <f>C30-D30</f>
        <v/>
      </c>
      <c r="F30" s="6">
        <f>IF(E30=0,"Matches","Mismatch")</f>
        <v/>
      </c>
      <c r="G30" s="7" t="inlineStr">
        <is>
          <t>Winman: inside 'Other expenses'.</t>
        </is>
      </c>
    </row>
    <row r="31">
      <c r="A31" s="6" t="inlineStr">
        <is>
          <t>Expense</t>
        </is>
      </c>
      <c r="B31" s="7" t="inlineStr">
        <is>
          <t>Business promotion</t>
        </is>
      </c>
      <c r="C31" s="8" t="n">
        <v>225000</v>
      </c>
      <c r="D31" s="8" t="n">
        <v>225000</v>
      </c>
      <c r="E31" s="9">
        <f>C31-D31</f>
        <v/>
      </c>
      <c r="F31" s="6">
        <f>IF(E31=0,"Matches","Mismatch")</f>
        <v/>
      </c>
      <c r="G31" s="7" t="inlineStr">
        <is>
          <t>Winman: inside 'Other expenses'.</t>
        </is>
      </c>
    </row>
    <row r="32">
      <c r="A32" s="6" t="inlineStr">
        <is>
          <t>Expense</t>
        </is>
      </c>
      <c r="B32" s="7" t="inlineStr">
        <is>
          <t>Business expenses</t>
        </is>
      </c>
      <c r="C32" s="8" t="n">
        <v>225000</v>
      </c>
      <c r="D32" s="8" t="n">
        <v>225000</v>
      </c>
      <c r="E32" s="9">
        <f>C32-D32</f>
        <v/>
      </c>
      <c r="F32" s="6">
        <f>IF(E32=0,"Matches","Mismatch")</f>
        <v/>
      </c>
      <c r="G32" s="7" t="inlineStr">
        <is>
          <t>Winman: inside 'Other expenses'.</t>
        </is>
      </c>
    </row>
    <row r="33">
      <c r="A33" s="6" t="inlineStr">
        <is>
          <t>Expense</t>
        </is>
      </c>
      <c r="B33" s="7" t="inlineStr">
        <is>
          <t>Round off</t>
        </is>
      </c>
      <c r="C33" s="8" t="n">
        <v>2</v>
      </c>
      <c r="D33" s="8" t="n">
        <v>0</v>
      </c>
      <c r="E33" s="9">
        <f>C33-D33</f>
        <v/>
      </c>
      <c r="F33" s="6">
        <f>IF(E33=0,"Matches","Mismatch")</f>
        <v/>
      </c>
      <c r="G33" s="7" t="inlineStr">
        <is>
          <t>Added in the financials to clear the Rs 2 opening difference, as you instructed. Not in Winman's P&amp;L.</t>
        </is>
      </c>
    </row>
    <row r="34">
      <c r="A34" s="10" t="inlineStr">
        <is>
          <t>TOTAL</t>
        </is>
      </c>
      <c r="B34" s="11" t="inlineStr">
        <is>
          <t>Total expenses</t>
        </is>
      </c>
      <c r="C34" s="12">
        <f>SUM(C25:C33)</f>
        <v/>
      </c>
      <c r="D34" s="12">
        <f>SUM(D25:D33)</f>
        <v/>
      </c>
      <c r="E34" s="13">
        <f>C34-D34</f>
        <v/>
      </c>
      <c r="F34" s="10">
        <f>IF(E34=0,"Matches","Mismatch")</f>
        <v/>
      </c>
      <c r="G34" s="11" t="inlineStr"/>
    </row>
    <row r="35">
      <c r="A35" s="10" t="inlineStr">
        <is>
          <t>RESULT</t>
        </is>
      </c>
      <c r="B35" s="11" t="inlineStr">
        <is>
          <t>Net profit / (loss) for the year</t>
        </is>
      </c>
      <c r="C35" s="12">
        <f>C24-C34</f>
        <v/>
      </c>
      <c r="D35" s="12">
        <f>D24-D34</f>
        <v/>
      </c>
      <c r="E35" s="13">
        <f>C35-D35</f>
        <v/>
      </c>
      <c r="F35" s="10">
        <f>IF(E35=0,"Matches","Mismatch")</f>
        <v/>
      </c>
      <c r="G35" s="11" t="inlineStr">
        <is>
          <t>Winman's P&amp;L gives a loss of 13,719 but its balance sheet carries P&amp;L (Dr) of 13,721 - Winman itself has a Rs 2 gap.</t>
        </is>
      </c>
    </row>
    <row r="36">
      <c r="A36" s="10" t="inlineStr">
        <is>
          <t>CHECK</t>
        </is>
      </c>
      <c r="B36" s="11" t="inlineStr">
        <is>
          <t>Loss per P&amp;L vs P&amp;L (Dr) in balance sheet</t>
        </is>
      </c>
      <c r="C36" s="12">
        <f>-C35-(-C8)</f>
        <v/>
      </c>
      <c r="D36" s="12">
        <f>-D35-D18</f>
        <v/>
      </c>
      <c r="E36" s="13">
        <f>C36-D36</f>
        <v/>
      </c>
      <c r="F36" s="10">
        <f>IF(E36=0,"Matches","Mismatch")</f>
        <v/>
      </c>
      <c r="G36" s="11" t="inlineStr"/>
    </row>
    <row r="38">
      <c r="A38" s="3" t="inlineStr">
        <is>
          <t>Sources: Financials = outputs/Star_Fandom_India_LLP_Financials_FY2025-26.pdf (as signed-ready, 31-08-2026). Winman = Star_Fandom_India_Llp_ITR_5.xlsm, sheets 'Balance Sheet', 'Profit &amp; Loss Account', 'Other Expenses' (column 'Total Amount').</t>
        </is>
      </c>
    </row>
  </sheetData>
  <mergeCells count="3">
    <mergeCell ref="A21:G21"/>
    <mergeCell ref="A13:G13"/>
    <mergeCell ref="A6:G6"/>
  </mergeCells>
  <conditionalFormatting sqref="F6:F37">
    <cfRule type="cellIs" priority="1" operator="equal" dxfId="0">
      <formula>"Mismatch"</formula>
    </cfRule>
    <cfRule type="cellIs" priority="2" operator="equal" dxfId="1">
      <formula>"Matches"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2026-09-24T04:41:41Z</dcterms:created>
  <dcterms:modified xsi:type="dcterms:W3CDTF">2026-09-24T04:41:41Z</dcterms:modified>
</cp:coreProperties>
</file>
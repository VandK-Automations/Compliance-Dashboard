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nciliation" sheetId="1" state="visible" r:id="rId1"/>
    <sheet name="Entries &amp; corre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D9D9E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164" fontId="3" fillId="2" borderId="1" applyAlignment="1" pivotButton="0" quotePrefix="0" xfId="0">
      <alignment vertical="top"/>
    </xf>
    <xf numFmtId="164" fontId="0" fillId="0" borderId="0" pivotButton="0" quotePrefix="0" xfId="0"/>
    <xf numFmtId="165" fontId="3" fillId="2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6" customWidth="1" min="9" max="9"/>
  </cols>
  <sheetData>
    <row r="1">
      <c r="A1" s="1" t="inlineStr">
        <is>
          <t>Star Fandom India LLP (LLPIN: ACH-8938) - FY 2025-26: Tally vs Financial statements vs Winman ITR-5</t>
        </is>
      </c>
    </row>
    <row r="2">
      <c r="A2" s="2" t="inlineStr">
        <is>
          <t>Amount in Rs. Credits / income positive; debits shown in the asset and expense sections as positive. Blue = figures from source files or entries to post; black = formulas. 'Match' tolerates paise rounding (&lt; Re 1).</t>
        </is>
      </c>
    </row>
    <row r="4">
      <c r="A4" s="3" t="inlineStr">
        <is>
          <t>Particulars</t>
        </is>
      </c>
      <c r="B4" s="3" t="inlineStr">
        <is>
          <t>Tally TB as exported (TrialBal.xlsx, latest)</t>
        </is>
      </c>
      <c r="C4" s="3" t="inlineStr">
        <is>
          <t>Entries to post in Tally (sheet 2)</t>
        </is>
      </c>
      <c r="D4" s="3" t="inlineStr">
        <is>
          <t>Tally after entries</t>
        </is>
      </c>
      <c r="E4" s="3" t="inlineStr">
        <is>
          <t>Financials (PDF, 31-08-2026)</t>
        </is>
      </c>
      <c r="F4" s="3" t="inlineStr">
        <is>
          <t>Winman as exported</t>
        </is>
      </c>
      <c r="G4" s="3" t="inlineStr">
        <is>
          <t>Corrections to Winman (sheet 2)</t>
        </is>
      </c>
      <c r="H4" s="3" t="inlineStr">
        <is>
          <t>Winman after corrections</t>
        </is>
      </c>
      <c r="I4" s="3" t="inlineStr">
        <is>
          <t>Status</t>
        </is>
      </c>
    </row>
    <row r="5">
      <c r="A5" s="4" t="inlineStr">
        <is>
          <t>PARTNERS' FUNDS AND LIABILITIES</t>
        </is>
      </c>
    </row>
    <row r="6">
      <c r="A6" s="5" t="inlineStr">
        <is>
          <t>Partners' contribution (capital)</t>
        </is>
      </c>
      <c r="B6" s="6" t="n">
        <v>0</v>
      </c>
      <c r="C6" s="6" t="n">
        <v>200000</v>
      </c>
      <c r="D6" s="7">
        <f>B6+C6</f>
        <v/>
      </c>
      <c r="E6" s="6" t="n">
        <v>200000</v>
      </c>
      <c r="F6" s="6" t="n">
        <v>0</v>
      </c>
      <c r="G6" s="6" t="n">
        <v>186281</v>
      </c>
      <c r="H6" s="7">
        <f>F6+G6</f>
        <v/>
      </c>
      <c r="I6" s="8">
        <f>IF(ABS(D6+D7-(E6+E7))&lt;1,IF(ABS(H6+H7-(E6+E7))&lt;1,"Match (combined)","Winman differs"),"Tally differs")</f>
        <v/>
      </c>
    </row>
    <row r="7">
      <c r="A7" s="5" t="inlineStr">
        <is>
          <t>Partners' current account (share of loss)</t>
        </is>
      </c>
      <c r="B7" s="6" t="n">
        <v>0</v>
      </c>
      <c r="C7" s="7">
        <f>D34</f>
        <v/>
      </c>
      <c r="D7" s="7">
        <f>B7+C7</f>
        <v/>
      </c>
      <c r="E7" s="6" t="n">
        <v>-13719</v>
      </c>
      <c r="F7" s="6" t="n">
        <v>0</v>
      </c>
      <c r="G7" s="6" t="n">
        <v>0</v>
      </c>
      <c r="H7" s="7">
        <f>F7+G7</f>
        <v/>
      </c>
      <c r="I7" s="8">
        <f>IF(ABS(D6+D7-(E6+E7))&lt;1,IF(ABS(H6+H7-(E6+E7))&lt;1,"Match (combined)","Winman differs"),"Tally differs")</f>
        <v/>
      </c>
    </row>
    <row r="8">
      <c r="A8" s="5" t="inlineStr">
        <is>
          <t>Provisions (Tally group) - Short-term provisions</t>
        </is>
      </c>
      <c r="B8" s="6" t="n">
        <v>450000</v>
      </c>
      <c r="C8" s="6" t="n">
        <v>0</v>
      </c>
      <c r="D8" s="7">
        <f>B8+C8</f>
        <v/>
      </c>
      <c r="E8" s="6" t="n">
        <v>450000</v>
      </c>
      <c r="F8" s="6" t="n">
        <v>0</v>
      </c>
      <c r="G8" s="6" t="n">
        <v>450000</v>
      </c>
      <c r="H8" s="7">
        <f>F8+G8</f>
        <v/>
      </c>
      <c r="I8" s="8">
        <f>IF(AND(ABS(D8-E8)&lt;1,ABS(H8-E8)&lt;1),"Match",IF(ABS(D8-E8)&gt;=1,"Tally differs","Winman differs"))</f>
        <v/>
      </c>
    </row>
    <row r="9">
      <c r="A9" s="5" t="inlineStr">
        <is>
          <t>Sundry creditors / Trade payables</t>
        </is>
      </c>
      <c r="B9" s="6" t="n">
        <v>28229.33</v>
      </c>
      <c r="C9" s="6" t="n">
        <v>0</v>
      </c>
      <c r="D9" s="7">
        <f>B9+C9</f>
        <v/>
      </c>
      <c r="E9" s="6" t="n">
        <v>28229</v>
      </c>
      <c r="F9" s="6" t="n">
        <v>28229</v>
      </c>
      <c r="G9" s="6" t="n">
        <v>0</v>
      </c>
      <c r="H9" s="7">
        <f>F9+G9</f>
        <v/>
      </c>
      <c r="I9" s="8">
        <f>IF(AND(ABS(D9-E9)&lt;1,ABS(H9-E9)&lt;1),"Match",IF(ABS(D9-E9)&gt;=1,"Tally differs","Winman differs"))</f>
        <v/>
      </c>
    </row>
    <row r="10">
      <c r="A10" s="5" t="inlineStr">
        <is>
          <t>Duties &amp; taxes (net GST + TDS payable) / Other payables</t>
        </is>
      </c>
      <c r="B10" s="6" t="n">
        <v>8949.9</v>
      </c>
      <c r="C10" s="6" t="n">
        <v>0</v>
      </c>
      <c r="D10" s="7">
        <f>B10+C10</f>
        <v/>
      </c>
      <c r="E10" s="6" t="n">
        <v>8950</v>
      </c>
      <c r="F10" s="6" t="n">
        <v>8950</v>
      </c>
      <c r="G10" s="6" t="n">
        <v>0</v>
      </c>
      <c r="H10" s="7">
        <f>F10+G10</f>
        <v/>
      </c>
      <c r="I10" s="8">
        <f>IF(AND(ABS(D10-E10)&lt;1,ABS(H10-E10)&lt;1),"Match",IF(ABS(D10-E10)&gt;=1,"Tally differs","Winman differs"))</f>
        <v/>
      </c>
    </row>
    <row r="11">
      <c r="A11" s="9" t="inlineStr">
        <is>
          <t>Total partners' funds and liabilities</t>
        </is>
      </c>
      <c r="B11" s="10">
        <f>SUM(B6:B10)</f>
        <v/>
      </c>
      <c r="C11" s="10">
        <f>SUM(C6:C10)</f>
        <v/>
      </c>
      <c r="D11" s="11">
        <f>B11+C11</f>
        <v/>
      </c>
      <c r="E11" s="10">
        <f>SUM(E6:E10)</f>
        <v/>
      </c>
      <c r="F11" s="10">
        <f>SUM(F6:F10)</f>
        <v/>
      </c>
      <c r="G11" s="10">
        <f>SUM(G6:G10)</f>
        <v/>
      </c>
      <c r="H11" s="11">
        <f>F11+G11</f>
        <v/>
      </c>
      <c r="I11" s="12">
        <f>IF(AND(ABS(D11-E11)&lt;1,ABS(H11-E11)&lt;1),"Match",IF(ABS(D11-E11)&gt;=1,"Tally differs","Winman differs"))</f>
        <v/>
      </c>
    </row>
    <row r="12">
      <c r="A12" s="4" t="inlineStr">
        <is>
          <t>ASSETS</t>
        </is>
      </c>
    </row>
    <row r="13">
      <c r="A13" s="5" t="inlineStr">
        <is>
          <t>Advances - ledger 'Loan From Samarha Raghava Nagabhushanam' (Dr)</t>
        </is>
      </c>
      <c r="B13" s="6" t="n">
        <v>409311.61</v>
      </c>
      <c r="C13" s="6" t="n">
        <v>0</v>
      </c>
      <c r="D13" s="7">
        <f>B13+C13</f>
        <v/>
      </c>
      <c r="E13" s="6" t="n">
        <v>409312</v>
      </c>
      <c r="F13" s="6" t="n">
        <v>409311</v>
      </c>
      <c r="G13" s="6" t="n">
        <v>1</v>
      </c>
      <c r="H13" s="7">
        <f>F13+G13</f>
        <v/>
      </c>
      <c r="I13" s="8">
        <f>IF(AND(ABS(D13-E13)&lt;1,ABS(H13-E13)&lt;1),"Match",IF(ABS(D13-E13)&gt;=1,"Tally differs","Winman differs"))</f>
        <v/>
      </c>
    </row>
    <row r="14">
      <c r="A14" s="5" t="inlineStr">
        <is>
          <t>TDS 2025-26 (TDS receivable)</t>
        </is>
      </c>
      <c r="B14" s="6" t="n">
        <v>18475.44</v>
      </c>
      <c r="C14" s="6" t="n">
        <v>0</v>
      </c>
      <c r="D14" s="7">
        <f>B14+C14</f>
        <v/>
      </c>
      <c r="E14" s="6" t="n">
        <v>18475</v>
      </c>
      <c r="F14" s="6" t="n">
        <v>0</v>
      </c>
      <c r="G14" s="6" t="n">
        <v>18475</v>
      </c>
      <c r="H14" s="7">
        <f>F14+G14</f>
        <v/>
      </c>
      <c r="I14" s="8">
        <f>IF(AND(ABS(D14-E14)&lt;1,ABS(H14-E14)&lt;1),"Match",IF(ABS(D14-E14)&gt;=1,"Tally differs","Winman differs"))</f>
        <v/>
      </c>
    </row>
    <row r="15">
      <c r="A15" s="5" t="inlineStr">
        <is>
          <t>HDFC Bank Limited</t>
        </is>
      </c>
      <c r="B15" s="6" t="n">
        <v>45672.76</v>
      </c>
      <c r="C15" s="6" t="n">
        <v>0</v>
      </c>
      <c r="D15" s="7">
        <f>B15+C15</f>
        <v/>
      </c>
      <c r="E15" s="6" t="n">
        <v>45673</v>
      </c>
      <c r="F15" s="6" t="n">
        <v>45672</v>
      </c>
      <c r="G15" s="6" t="n">
        <v>1</v>
      </c>
      <c r="H15" s="7">
        <f>F15+G15</f>
        <v/>
      </c>
      <c r="I15" s="8">
        <f>IF(AND(ABS(D15-E15)&lt;1,ABS(H15-E15)&lt;1),"Match",IF(ABS(D15-E15)&gt;=1,"Tally differs","Winman differs"))</f>
        <v/>
      </c>
    </row>
    <row r="16">
      <c r="A16" s="5" t="inlineStr">
        <is>
          <t>Cash - Others (Winman)</t>
        </is>
      </c>
      <c r="B16" s="6" t="n">
        <v>0</v>
      </c>
      <c r="C16" s="6" t="n">
        <v>0</v>
      </c>
      <c r="D16" s="7">
        <f>B16+C16</f>
        <v/>
      </c>
      <c r="E16" s="6" t="n">
        <v>0</v>
      </c>
      <c r="F16" s="6" t="n">
        <v>18475</v>
      </c>
      <c r="G16" s="6" t="n">
        <v>-18475</v>
      </c>
      <c r="H16" s="7">
        <f>F16+G16</f>
        <v/>
      </c>
      <c r="I16" s="8">
        <f>IF(AND(ABS(D16-E16)&lt;1,ABS(H16-E16)&lt;1),"Match",IF(ABS(D16-E16)&gt;=1,"Tally differs","Winman differs"))</f>
        <v/>
      </c>
    </row>
    <row r="17">
      <c r="A17" s="5" t="inlineStr">
        <is>
          <t>Receivable from partners (capital contribution)</t>
        </is>
      </c>
      <c r="B17" s="6" t="n">
        <v>0</v>
      </c>
      <c r="C17" s="6" t="n">
        <v>200000</v>
      </c>
      <c r="D17" s="7">
        <f>B17+C17</f>
        <v/>
      </c>
      <c r="E17" s="6" t="n">
        <v>200000</v>
      </c>
      <c r="F17" s="6" t="n">
        <v>0</v>
      </c>
      <c r="G17" s="6" t="n">
        <v>200000</v>
      </c>
      <c r="H17" s="7">
        <f>F17+G17</f>
        <v/>
      </c>
      <c r="I17" s="8">
        <f>IF(AND(ABS(D17-E17)&lt;1,ABS(H17-E17)&lt;1),"Match",IF(ABS(D17-E17)&gt;=1,"Tally differs","Winman differs"))</f>
        <v/>
      </c>
    </row>
    <row r="18">
      <c r="A18" s="5" t="inlineStr">
        <is>
          <t>Profit and loss A/c (Dr) (Winman)</t>
        </is>
      </c>
      <c r="B18" s="6" t="n">
        <v>0</v>
      </c>
      <c r="C18" s="6" t="n">
        <v>0</v>
      </c>
      <c r="D18" s="7">
        <f>B18+C18</f>
        <v/>
      </c>
      <c r="E18" s="6" t="n">
        <v>0</v>
      </c>
      <c r="F18" s="6" t="n">
        <v>13721</v>
      </c>
      <c r="G18" s="6" t="n">
        <v>-13721</v>
      </c>
      <c r="H18" s="7">
        <f>F18+G18</f>
        <v/>
      </c>
      <c r="I18" s="8">
        <f>IF(AND(ABS(D18-E18)&lt;1,ABS(H18-E18)&lt;1),"Match",IF(ABS(D18-E18)&gt;=1,"Tally differs","Winman differs"))</f>
        <v/>
      </c>
    </row>
    <row r="19">
      <c r="A19" s="9" t="inlineStr">
        <is>
          <t>Total assets</t>
        </is>
      </c>
      <c r="B19" s="10">
        <f>SUM(B13:B18)</f>
        <v/>
      </c>
      <c r="C19" s="10">
        <f>SUM(C13:C18)</f>
        <v/>
      </c>
      <c r="D19" s="11">
        <f>B19+C19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1">
        <f>F19+G19</f>
        <v/>
      </c>
      <c r="I19" s="12">
        <f>IF(AND(ABS(D19-E19)&lt;1,ABS(H19-E19)&lt;1),"Match",IF(ABS(D19-E19)&gt;=1,"Tally differs","Winman differs"))</f>
        <v/>
      </c>
    </row>
    <row r="20">
      <c r="A20" s="9" t="inlineStr">
        <is>
          <t>Assets less liabilities (must be nil)</t>
        </is>
      </c>
      <c r="B20" s="10">
        <f>B19-B11</f>
        <v/>
      </c>
      <c r="C20" s="10">
        <f>C19-C11</f>
        <v/>
      </c>
      <c r="D20" s="11">
        <f>B20+C20</f>
        <v/>
      </c>
      <c r="E20" s="10">
        <f>E19-E11</f>
        <v/>
      </c>
      <c r="F20" s="10">
        <f>F19-F11</f>
        <v/>
      </c>
      <c r="G20" s="10">
        <f>G19-G11</f>
        <v/>
      </c>
      <c r="H20" s="11">
        <f>F20+G20</f>
        <v/>
      </c>
      <c r="I20" s="12">
        <f>IF(AND(ABS(D20-E20)&lt;1,ABS(H20-E20)&lt;1),"Match",IF(ABS(D20-E20)&gt;=1,"Tally differs","Winman differs"))</f>
        <v/>
      </c>
    </row>
    <row r="21">
      <c r="A21" s="4" t="inlineStr">
        <is>
          <t>PROFIT AND LOSS</t>
        </is>
      </c>
    </row>
    <row r="22">
      <c r="A22" s="5" t="inlineStr">
        <is>
          <t>Sponsorship Amount - Sale of services</t>
        </is>
      </c>
      <c r="B22" s="6" t="n">
        <v>923729</v>
      </c>
      <c r="C22" s="6" t="n">
        <v>0</v>
      </c>
      <c r="D22" s="7">
        <f>B22+C22</f>
        <v/>
      </c>
      <c r="E22" s="6" t="n">
        <v>923729</v>
      </c>
      <c r="F22" s="6" t="n">
        <v>0</v>
      </c>
      <c r="G22" s="6" t="n">
        <v>923729</v>
      </c>
      <c r="H22" s="7">
        <f>F22+G22</f>
        <v/>
      </c>
      <c r="I22" s="8">
        <f>IF(AND(ABS(D22-E22)&lt;1,ABS(H22-E22)&lt;1),"Match",IF(ABS(D22-E22)&gt;=1,"Tally differs","Winman differs"))</f>
        <v/>
      </c>
    </row>
    <row r="23">
      <c r="A23" s="5" t="inlineStr">
        <is>
          <t>Sale of products / goods (Winman)</t>
        </is>
      </c>
      <c r="B23" s="6" t="n">
        <v>0</v>
      </c>
      <c r="C23" s="6" t="n">
        <v>0</v>
      </c>
      <c r="D23" s="7">
        <f>B23+C23</f>
        <v/>
      </c>
      <c r="E23" s="6" t="n">
        <v>0</v>
      </c>
      <c r="F23" s="6" t="n">
        <v>923729</v>
      </c>
      <c r="G23" s="6" t="n">
        <v>-923729</v>
      </c>
      <c r="H23" s="7">
        <f>F23+G23</f>
        <v/>
      </c>
      <c r="I23" s="8">
        <f>IF(AND(ABS(D23-E23)&lt;1,ABS(H23-E23)&lt;1),"Match",IF(ABS(D23-E23)&gt;=1,"Tally differs","Winman differs"))</f>
        <v/>
      </c>
    </row>
    <row r="24">
      <c r="A24" s="5" t="inlineStr">
        <is>
          <t>Marketing and Research Expenses (Advertisement)</t>
        </is>
      </c>
      <c r="B24" s="6" t="n">
        <v>304000</v>
      </c>
      <c r="C24" s="6" t="n">
        <v>0</v>
      </c>
      <c r="D24" s="7">
        <f>B24+C24</f>
        <v/>
      </c>
      <c r="E24" s="6" t="n">
        <v>304000</v>
      </c>
      <c r="F24" s="6" t="n">
        <v>304000</v>
      </c>
      <c r="G24" s="6" t="n">
        <v>0</v>
      </c>
      <c r="H24" s="7">
        <f>F24+G24</f>
        <v/>
      </c>
      <c r="I24" s="8">
        <f>IF(AND(ABS(D24-E24)&lt;1,ABS(H24-E24)&lt;1),"Match",IF(ABS(D24-E24)&gt;=1,"Tally differs","Winman differs"))</f>
        <v/>
      </c>
    </row>
    <row r="25">
      <c r="A25" s="5" t="inlineStr">
        <is>
          <t>Mobile Expenses (Telephone)</t>
        </is>
      </c>
      <c r="B25" s="6" t="n">
        <v>3918.5</v>
      </c>
      <c r="C25" s="6" t="n">
        <v>0</v>
      </c>
      <c r="D25" s="7">
        <f>B25+C25</f>
        <v/>
      </c>
      <c r="E25" s="6" t="n">
        <v>3918</v>
      </c>
      <c r="F25" s="6" t="n">
        <v>3918</v>
      </c>
      <c r="G25" s="6" t="n">
        <v>0</v>
      </c>
      <c r="H25" s="7">
        <f>F25+G25</f>
        <v/>
      </c>
      <c r="I25" s="8">
        <f>IF(AND(ABS(D25-E25)&lt;1,ABS(H25-E25)&lt;1),"Match",IF(ABS(D25-E25)&gt;=1,"Tally differs","Winman differs"))</f>
        <v/>
      </c>
    </row>
    <row r="26">
      <c r="A26" s="5" t="inlineStr">
        <is>
          <t>Bank Charges</t>
        </is>
      </c>
      <c r="B26" s="6" t="n">
        <v>1017.75</v>
      </c>
      <c r="C26" s="6" t="n">
        <v>0</v>
      </c>
      <c r="D26" s="7">
        <f>B26+C26</f>
        <v/>
      </c>
      <c r="E26" s="6" t="n">
        <v>1018</v>
      </c>
      <c r="F26" s="6" t="n">
        <v>1018</v>
      </c>
      <c r="G26" s="6" t="n">
        <v>0</v>
      </c>
      <c r="H26" s="7">
        <f>F26+G26</f>
        <v/>
      </c>
      <c r="I26" s="8">
        <f>IF(AND(ABS(D26-E26)&lt;1,ABS(H26-E26)&lt;1),"Match",IF(ABS(D26-E26)&gt;=1,"Tally differs","Winman differs"))</f>
        <v/>
      </c>
    </row>
    <row r="27">
      <c r="A27" s="5" t="inlineStr">
        <is>
          <t>Branding and Promotions</t>
        </is>
      </c>
      <c r="B27" s="6" t="n">
        <v>170688.39</v>
      </c>
      <c r="C27" s="6" t="n">
        <v>0</v>
      </c>
      <c r="D27" s="7">
        <f>B27+C27</f>
        <v/>
      </c>
      <c r="E27" s="6" t="n">
        <v>170688</v>
      </c>
      <c r="F27" s="6" t="n">
        <v>170688</v>
      </c>
      <c r="G27" s="6" t="n">
        <v>0</v>
      </c>
      <c r="H27" s="7">
        <f>F27+G27</f>
        <v/>
      </c>
      <c r="I27" s="8">
        <f>IF(AND(ABS(D27-E27)&lt;1,ABS(H27-E27)&lt;1),"Match",IF(ABS(D27-E27)&gt;=1,"Tally differs","Winman differs"))</f>
        <v/>
      </c>
    </row>
    <row r="28">
      <c r="A28" s="5" t="inlineStr">
        <is>
          <t>Interest on TDS</t>
        </is>
      </c>
      <c r="B28" s="6" t="n">
        <v>1824</v>
      </c>
      <c r="C28" s="6" t="n">
        <v>0</v>
      </c>
      <c r="D28" s="7">
        <f>B28+C28</f>
        <v/>
      </c>
      <c r="E28" s="6" t="n">
        <v>1824</v>
      </c>
      <c r="F28" s="6" t="n">
        <v>1824</v>
      </c>
      <c r="G28" s="6" t="n">
        <v>0</v>
      </c>
      <c r="H28" s="7">
        <f>F28+G28</f>
        <v/>
      </c>
      <c r="I28" s="8">
        <f>IF(AND(ABS(D28-E28)&lt;1,ABS(H28-E28)&lt;1),"Match",IF(ABS(D28-E28)&gt;=1,"Tally differs","Winman differs"))</f>
        <v/>
      </c>
    </row>
    <row r="29">
      <c r="A29" s="5" t="inlineStr">
        <is>
          <t>Rates and Taxes</t>
        </is>
      </c>
      <c r="B29" s="6" t="n">
        <v>6000</v>
      </c>
      <c r="C29" s="6" t="n">
        <v>0</v>
      </c>
      <c r="D29" s="7">
        <f>B29+C29</f>
        <v/>
      </c>
      <c r="E29" s="6" t="n">
        <v>6000</v>
      </c>
      <c r="F29" s="6" t="n">
        <v>6000</v>
      </c>
      <c r="G29" s="6" t="n">
        <v>0</v>
      </c>
      <c r="H29" s="7">
        <f>F29+G29</f>
        <v/>
      </c>
      <c r="I29" s="8">
        <f>IF(AND(ABS(D29-E29)&lt;1,ABS(H29-E29)&lt;1),"Match",IF(ABS(D29-E29)&gt;=1,"Tally differs","Winman differs"))</f>
        <v/>
      </c>
    </row>
    <row r="30">
      <c r="A30" s="5" t="inlineStr">
        <is>
          <t>Branding Expense (Winman: 'Business Expenses')</t>
        </is>
      </c>
      <c r="B30" s="6" t="n">
        <v>225000</v>
      </c>
      <c r="C30" s="6" t="n">
        <v>0</v>
      </c>
      <c r="D30" s="7">
        <f>B30+C30</f>
        <v/>
      </c>
      <c r="E30" s="6" t="n">
        <v>225000</v>
      </c>
      <c r="F30" s="6" t="n">
        <v>225000</v>
      </c>
      <c r="G30" s="6" t="n">
        <v>0</v>
      </c>
      <c r="H30" s="7">
        <f>F30+G30</f>
        <v/>
      </c>
      <c r="I30" s="8">
        <f>IF(AND(ABS(D30-E30)&lt;1,ABS(H30-E30)&lt;1),"Match",IF(ABS(D30-E30)&gt;=1,"Tally differs","Winman differs"))</f>
        <v/>
      </c>
    </row>
    <row r="31">
      <c r="A31" s="5" t="inlineStr">
        <is>
          <t>Business Promotion</t>
        </is>
      </c>
      <c r="B31" s="6" t="n">
        <v>225000</v>
      </c>
      <c r="C31" s="6" t="n">
        <v>0</v>
      </c>
      <c r="D31" s="7">
        <f>B31+C31</f>
        <v/>
      </c>
      <c r="E31" s="6" t="n">
        <v>225000</v>
      </c>
      <c r="F31" s="6" t="n">
        <v>225000</v>
      </c>
      <c r="G31" s="6" t="n">
        <v>0</v>
      </c>
      <c r="H31" s="7">
        <f>F31+G31</f>
        <v/>
      </c>
      <c r="I31" s="8">
        <f>IF(AND(ABS(D31-E31)&lt;1,ABS(H31-E31)&lt;1),"Match",IF(ABS(D31-E31)&gt;=1,"Tally differs","Winman differs"))</f>
        <v/>
      </c>
    </row>
    <row r="32">
      <c r="A32" s="5" t="inlineStr">
        <is>
          <t>Round Off (Cr)</t>
        </is>
      </c>
      <c r="B32" s="6" t="n">
        <v>-0.22</v>
      </c>
      <c r="C32" s="6" t="n">
        <v>0</v>
      </c>
      <c r="D32" s="7">
        <f>B32+C32</f>
        <v/>
      </c>
      <c r="E32" s="6" t="n">
        <v>0</v>
      </c>
      <c r="F32" s="6" t="n">
        <v>0</v>
      </c>
      <c r="G32" s="6" t="n">
        <v>0</v>
      </c>
      <c r="H32" s="7">
        <f>F32+G32</f>
        <v/>
      </c>
      <c r="I32" s="8">
        <f>IF(AND(ABS(D32-E32)&lt;1,ABS(H32-E32)&lt;1),"Match",IF(ABS(D32-E32)&gt;=1,"Tally differs","Winman differs"))</f>
        <v/>
      </c>
    </row>
    <row r="33">
      <c r="A33" s="9" t="inlineStr">
        <is>
          <t>Total expenses</t>
        </is>
      </c>
      <c r="B33" s="10">
        <f>SUM(B24:B32)</f>
        <v/>
      </c>
      <c r="C33" s="10">
        <f>SUM(C24:C32)</f>
        <v/>
      </c>
      <c r="D33" s="11">
        <f>B33+C33</f>
        <v/>
      </c>
      <c r="E33" s="10">
        <f>SUM(E24:E32)</f>
        <v/>
      </c>
      <c r="F33" s="10">
        <f>SUM(F24:F32)</f>
        <v/>
      </c>
      <c r="G33" s="10">
        <f>SUM(G24:G32)</f>
        <v/>
      </c>
      <c r="H33" s="11">
        <f>F33+G33</f>
        <v/>
      </c>
      <c r="I33" s="12">
        <f>IF(AND(ABS(D33-E33)&lt;1,ABS(H33-E33)&lt;1),"Match",IF(ABS(D33-E33)&gt;=1,"Tally differs","Winman differs"))</f>
        <v/>
      </c>
    </row>
    <row r="34">
      <c r="A34" s="9" t="inlineStr">
        <is>
          <t>Net profit / (loss) for the year</t>
        </is>
      </c>
      <c r="B34" s="10">
        <f>SUM(B22:B23)-B33</f>
        <v/>
      </c>
      <c r="C34" s="10">
        <f>SUM(C22:C23)-C33</f>
        <v/>
      </c>
      <c r="D34" s="11">
        <f>B34+C34</f>
        <v/>
      </c>
      <c r="E34" s="10">
        <f>SUM(E22:E23)-E33</f>
        <v/>
      </c>
      <c r="F34" s="10">
        <f>SUM(F22:F23)-F33</f>
        <v/>
      </c>
      <c r="G34" s="10">
        <f>SUM(G22:G23)-G33</f>
        <v/>
      </c>
      <c r="H34" s="11">
        <f>F34+G34</f>
        <v/>
      </c>
      <c r="I34" s="12">
        <f>IF(AND(ABS(D34-E34)&lt;1,ABS(H34-E34)&lt;1),"Match",IF(ABS(D34-E34)&gt;=1,"Tally differs","Winman differs"))</f>
        <v/>
      </c>
    </row>
    <row r="36">
      <c r="A36" s="13" t="inlineStr">
        <is>
          <t>Notes</t>
        </is>
      </c>
    </row>
    <row r="37">
      <c r="A37" s="14" t="inlineStr">
        <is>
          <t>Partners' contribution (capital): Not in Tally (no opening balances); Rs 2,00,000 b/f from signed FY 2024-25 accounts. Winman has one 'Partners' capital' field: 2,00,000 less loss 13,719 = 1,86,281</t>
        </is>
      </c>
    </row>
    <row r="38">
      <c r="A38" s="14" t="inlineStr">
        <is>
          <t>Provisions (Tally group) - Short-term provisions: Tally: credit side of Branding Expense and Business Promotion (2,25,000 each)</t>
        </is>
      </c>
    </row>
    <row r="39">
      <c r="A39" s="14" t="inlineStr">
        <is>
          <t>Receivable from partners (capital contribution): B/f from FY 2024-25; still receivable. Winman: enter under 'Other current assets'</t>
        </is>
      </c>
    </row>
    <row r="40">
      <c r="A40" s="14" t="inlineStr">
        <is>
          <t>Sponsorship Amount - Sale of services: Winman: move 9,23,729 from 'Sale of products/goods' to 'Sale of services'</t>
        </is>
      </c>
    </row>
    <row r="41">
      <c r="A41" s="14" t="inlineStr">
        <is>
          <t>Mobile Expenses (Telephone): Financials: 3,918.50 less Tally round off 0.22 = 3,918.28, shown as 3,918</t>
        </is>
      </c>
    </row>
    <row r="42">
      <c r="A42" s="14" t="inlineStr">
        <is>
          <t>Column B (Tally as exported) shows a difference of (13,719.42) on the check row only because the loss still sits in Tally's P&amp;L; it moves to the partners' current accounts when entry 2 on sheet 2 is posted.</t>
        </is>
      </c>
    </row>
    <row r="43">
      <c r="A43" s="14" t="inlineStr">
        <is>
          <t>Tally 'after entries' keeps paise; the financials and Winman are in whole rupees (nearest rupee). Winman as exported cut off the paise on Advances (.61) and Bank (.76) - that is the source of the earlier Rs 2 difference.</t>
        </is>
      </c>
    </row>
  </sheetData>
  <mergeCells count="3">
    <mergeCell ref="A5:I5"/>
    <mergeCell ref="A21:I21"/>
    <mergeCell ref="A12:I12"/>
  </mergeCells>
  <conditionalFormatting sqref="I5:I35">
    <cfRule type="expression" priority="1" dxfId="0">
      <formula>LEFT(I5,5)="Match"</formula>
    </cfRule>
    <cfRule type="expression" priority="2" dxfId="1">
      <formula>AND(I5&lt;&gt;"",LEFT(I5,5)&lt;&gt;"Match")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62" customWidth="1" min="3" max="3"/>
    <col width="16" customWidth="1" min="4" max="4"/>
    <col width="16" customWidth="1" min="5" max="5"/>
    <col width="52" customWidth="1" min="6" max="6"/>
  </cols>
  <sheetData>
    <row r="1">
      <c r="A1" s="15" t="inlineStr">
        <is>
          <t>A. Entries still to post in Tally (FY 2025-26) - the Rs 4,50,000 expenses and provision are already in Tally</t>
        </is>
      </c>
    </row>
    <row r="3">
      <c r="A3" s="16" t="inlineStr">
        <is>
          <t>#</t>
        </is>
      </c>
      <c r="B3" s="16" t="inlineStr">
        <is>
          <t>Date</t>
        </is>
      </c>
      <c r="C3" s="17" t="inlineStr">
        <is>
          <t>Ledger</t>
        </is>
      </c>
      <c r="D3" s="18" t="inlineStr">
        <is>
          <t>Debit</t>
        </is>
      </c>
      <c r="E3" s="18" t="inlineStr">
        <is>
          <t>Credit</t>
        </is>
      </c>
      <c r="F3" s="17" t="inlineStr">
        <is>
          <t>Narration</t>
        </is>
      </c>
    </row>
    <row r="4">
      <c r="A4" s="8" t="n">
        <v>1</v>
      </c>
      <c r="B4" s="8" t="inlineStr">
        <is>
          <t>01-04-2025</t>
        </is>
      </c>
      <c r="C4" s="5" t="inlineStr">
        <is>
          <t>Receivable from Partners (capital contribution) - opening</t>
        </is>
      </c>
      <c r="D4" s="6" t="n">
        <v>200000</v>
      </c>
      <c r="E4" s="7" t="n"/>
      <c r="F4" s="5" t="inlineStr">
        <is>
          <t>Opening balances b/f from signed FY 2024-25 accounts</t>
        </is>
      </c>
    </row>
    <row r="5">
      <c r="A5" s="8" t="n"/>
      <c r="B5" s="8" t="inlineStr"/>
      <c r="C5" s="5" t="inlineStr">
        <is>
          <t>Partners' Capital (Contribution) - opening: Pramod 39,960; Samartha 1,59,840; Nithin 100; Varun 100</t>
        </is>
      </c>
      <c r="D5" s="7" t="n"/>
      <c r="E5" s="6" t="n">
        <v>200000</v>
      </c>
      <c r="F5" s="5" t="inlineStr"/>
    </row>
    <row r="6">
      <c r="A6" s="8" t="n">
        <v>2</v>
      </c>
      <c r="B6" s="8" t="inlineStr">
        <is>
          <t>31-03-2026</t>
        </is>
      </c>
      <c r="C6" s="5" t="inlineStr">
        <is>
          <t>Partners' Current Account - Pramod (20%)</t>
        </is>
      </c>
      <c r="D6" s="6" t="n">
        <v>2743.88</v>
      </c>
      <c r="E6" s="7" t="n"/>
      <c r="F6" s="5" t="inlineStr">
        <is>
          <t>Loss for the year Rs 13,719.42 (books, with paise) shared 20:50:15:15</t>
        </is>
      </c>
    </row>
    <row r="7">
      <c r="A7" s="8" t="n"/>
      <c r="B7" s="8" t="inlineStr"/>
      <c r="C7" s="5" t="inlineStr">
        <is>
          <t>Partners' Current Account - Samartha (50%)</t>
        </is>
      </c>
      <c r="D7" s="6" t="n">
        <v>6859.71</v>
      </c>
      <c r="E7" s="7" t="n"/>
      <c r="F7" s="5" t="inlineStr"/>
    </row>
    <row r="8">
      <c r="A8" s="8" t="n"/>
      <c r="B8" s="8" t="inlineStr"/>
      <c r="C8" s="5" t="inlineStr">
        <is>
          <t>Partners' Current Account - Nithin (15%)</t>
        </is>
      </c>
      <c r="D8" s="6" t="n">
        <v>2057.91</v>
      </c>
      <c r="E8" s="7" t="n"/>
      <c r="F8" s="5" t="inlineStr"/>
    </row>
    <row r="9">
      <c r="A9" s="8" t="n"/>
      <c r="B9" s="8" t="inlineStr"/>
      <c r="C9" s="5" t="inlineStr">
        <is>
          <t>Partners' Current Account - Varun (15%)</t>
        </is>
      </c>
      <c r="D9" s="6" t="n">
        <v>2057.92</v>
      </c>
      <c r="E9" s="7" t="n"/>
      <c r="F9" s="5" t="inlineStr">
        <is>
          <t>Rounding paise placed here so the total is exact</t>
        </is>
      </c>
    </row>
    <row r="10">
      <c r="A10" s="8" t="n"/>
      <c r="B10" s="8" t="inlineStr"/>
      <c r="C10" s="5" t="inlineStr">
        <is>
          <t xml:space="preserve">   To Profit &amp; Loss A/c</t>
        </is>
      </c>
      <c r="D10" s="7" t="n"/>
      <c r="E10" s="6" t="n">
        <v>13719.42</v>
      </c>
      <c r="F10" s="5" t="inlineStr"/>
    </row>
    <row r="11">
      <c r="C11" s="13" t="inlineStr">
        <is>
          <t>Totals</t>
        </is>
      </c>
      <c r="D11" s="19">
        <f>SUM(D4:D10)</f>
        <v/>
      </c>
      <c r="E11" s="19">
        <f>SUM(E4:E10)</f>
        <v/>
      </c>
      <c r="F11">
        <f>IF(ABS(D11-E11)&lt;0.005,"Debits = Credits","NOT BALANCED")</f>
        <v/>
      </c>
    </row>
    <row r="12">
      <c r="C12" s="2" t="inlineStr">
        <is>
          <t>Note: the loss in the books is Rs 13,719.42; the financial statements show it rounded to Rs 13,719 (split 2,743.80 / 6,859.50 / 2,057.85 / 2,057.85).</t>
        </is>
      </c>
    </row>
    <row r="14">
      <c r="A14" s="15" t="inlineStr">
        <is>
          <t>B. Corrections to make in Winman (ITR-5, A.Y. 2026-27)</t>
        </is>
      </c>
    </row>
    <row r="15">
      <c r="A15" s="17" t="inlineStr">
        <is>
          <t>Winman sheet / field</t>
        </is>
      </c>
      <c r="B15" s="20" t="inlineStr">
        <is>
          <t>As exported</t>
        </is>
      </c>
      <c r="C15" s="20" t="inlineStr">
        <is>
          <t>Change to</t>
        </is>
      </c>
      <c r="D15" s="17" t="inlineStr">
        <is>
          <t>Reason</t>
        </is>
      </c>
    </row>
    <row r="16">
      <c r="A16" s="5" t="inlineStr">
        <is>
          <t>Balance Sheet - Partners' / Members' capital</t>
        </is>
      </c>
      <c r="B16" s="21" t="inlineStr">
        <is>
          <t>(blank)</t>
        </is>
      </c>
      <c r="C16" s="21" t="n">
        <v>186281</v>
      </c>
      <c r="D16" s="5" t="inlineStr">
        <is>
          <t>Contribution 2,00,000 less share of loss 13,719 (Notes 3A + 3B)</t>
        </is>
      </c>
    </row>
    <row r="17">
      <c r="A17" s="5" t="inlineStr">
        <is>
          <t>Balance Sheet - Other Provisions - Others</t>
        </is>
      </c>
      <c r="B17" s="21" t="inlineStr">
        <is>
          <t>(blank)</t>
        </is>
      </c>
      <c r="C17" s="21" t="n">
        <v>450000</v>
      </c>
      <c r="D17" s="5" t="inlineStr">
        <is>
          <t>Provisions as per Tally (Note 7A)</t>
        </is>
      </c>
    </row>
    <row r="18">
      <c r="A18" s="5" t="inlineStr">
        <is>
          <t>Balance Sheet - Other current assets (sub-table): Receivable from partners</t>
        </is>
      </c>
      <c r="B18" s="21" t="inlineStr">
        <is>
          <t>(blank)</t>
        </is>
      </c>
      <c r="C18" s="21" t="n">
        <v>200000</v>
      </c>
      <c r="D18" s="5" t="inlineStr">
        <is>
          <t>Capital contribution receivable (Note 10A)</t>
        </is>
      </c>
    </row>
    <row r="19">
      <c r="A19" s="5" t="inlineStr">
        <is>
          <t>Balance Sheet - Loans &amp; advances - Advances</t>
        </is>
      </c>
      <c r="B19" s="21" t="n">
        <v>409311</v>
      </c>
      <c r="C19" s="21" t="n">
        <v>409312</v>
      </c>
      <c r="D19" s="5" t="inlineStr">
        <is>
          <t>Tally 4,09,311.61 rounded to the nearest rupee</t>
        </is>
      </c>
    </row>
    <row r="20">
      <c r="A20" s="5" t="inlineStr">
        <is>
          <t>Balance Sheet - Loans &amp; advances - Balance with Revenue Authorities</t>
        </is>
      </c>
      <c r="B20" s="21" t="inlineStr">
        <is>
          <t>(blank)</t>
        </is>
      </c>
      <c r="C20" s="21" t="n">
        <v>18475</v>
      </c>
      <c r="D20" s="5" t="inlineStr">
        <is>
          <t>TDS 2025-26 receivable (Tally)</t>
        </is>
      </c>
    </row>
    <row r="21">
      <c r="A21" s="5" t="inlineStr">
        <is>
          <t>Balance Sheet - Cash / cash equivalents - Balances with Banks</t>
        </is>
      </c>
      <c r="B21" s="21" t="n">
        <v>45672</v>
      </c>
      <c r="C21" s="21" t="n">
        <v>45673</v>
      </c>
      <c r="D21" s="5" t="inlineStr">
        <is>
          <t>Tally 45,672.76 rounded to the nearest rupee</t>
        </is>
      </c>
    </row>
    <row r="22">
      <c r="A22" s="5" t="inlineStr">
        <is>
          <t>Balance Sheet - Cash / cash equivalents - Others</t>
        </is>
      </c>
      <c r="B22" s="21" t="n">
        <v>18475</v>
      </c>
      <c r="C22" s="21" t="n">
        <v>0</v>
      </c>
      <c r="D22" s="5" t="inlineStr">
        <is>
          <t>This is TDS receivable, not cash</t>
        </is>
      </c>
    </row>
    <row r="23">
      <c r="A23" s="5" t="inlineStr">
        <is>
          <t>Balance Sheet - Profit and loss A/c (Dr)</t>
        </is>
      </c>
      <c r="B23" s="21" t="n">
        <v>13721</v>
      </c>
      <c r="C23" s="21" t="n">
        <v>0</v>
      </c>
      <c r="D23" s="5" t="inlineStr">
        <is>
          <t>Loss transferred to partners' current accounts (included in capital above)</t>
        </is>
      </c>
    </row>
    <row r="24">
      <c r="A24" s="5" t="inlineStr">
        <is>
          <t>P&amp;L - Sale of products/goods</t>
        </is>
      </c>
      <c r="B24" s="21" t="n">
        <v>923729</v>
      </c>
      <c r="C24" s="21" t="n">
        <v>0</v>
      </c>
      <c r="D24" s="5" t="inlineStr">
        <is>
          <t>Sponsorship income is a service</t>
        </is>
      </c>
    </row>
    <row r="25">
      <c r="A25" s="5" t="inlineStr">
        <is>
          <t>P&amp;L - Sale of services (excluding Professional receipts)</t>
        </is>
      </c>
      <c r="B25" s="21" t="inlineStr">
        <is>
          <t>(blank)</t>
        </is>
      </c>
      <c r="C25" s="21" t="n">
        <v>923729</v>
      </c>
      <c r="D25" s="5" t="inlineStr">
        <is>
          <t>Sponsorship Amount (Tally)</t>
        </is>
      </c>
    </row>
    <row r="27">
      <c r="A27" s="2" t="inlineStr">
        <is>
          <t>Everything else in Winman (expenses 9,37,448, trade creditors 28,229, other payables 8,950) already matches and needs no change. After these corrections Winman's Balance Sheet totals 6,73,460 on both sides.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2026-09-24T05:46:02Z</dcterms:created>
  <dcterms:modified xsi:type="dcterms:W3CDTF">2026-09-24T05:46:02Z</dcterms:modified>
</cp:coreProperties>
</file>
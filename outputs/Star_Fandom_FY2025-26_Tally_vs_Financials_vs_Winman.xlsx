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ly vs FS vs Winm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D9D9E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164" fontId="6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62" customWidth="1" min="9" max="9"/>
  </cols>
  <sheetData>
    <row r="1">
      <c r="A1" s="1" t="inlineStr">
        <is>
          <t>Star Fandom India LLP (LLPIN: ACH-8938) - FY 2025-26</t>
        </is>
      </c>
    </row>
    <row r="2">
      <c r="A2" s="2" t="inlineStr">
        <is>
          <t>Three-way comparison: Tally Trial Balance (1-Apr-25 to 31-Mar-26) vs Financial statements (PDF dated 31-08-2026) vs Winman ITR-5 export</t>
        </is>
      </c>
    </row>
    <row r="3">
      <c r="A3" s="3" t="inlineStr">
        <is>
          <t>Amount in Rs. Liabilities/income positive; loss negative. Blue = figures read from the source files; black = formulas. Differences are measured against Tally (the books). Differences under Re 1 are paise rounding.</t>
        </is>
      </c>
    </row>
    <row r="5">
      <c r="A5" s="4" t="inlineStr">
        <is>
          <t>Section</t>
        </is>
      </c>
      <c r="B5" s="4" t="inlineStr">
        <is>
          <t>Particulars (Tally ledger / statement line)</t>
        </is>
      </c>
      <c r="C5" s="4" t="inlineStr">
        <is>
          <t>As per Tally</t>
        </is>
      </c>
      <c r="D5" s="4" t="inlineStr">
        <is>
          <t>As per Financials</t>
        </is>
      </c>
      <c r="E5" s="4" t="inlineStr">
        <is>
          <t>As per Winman</t>
        </is>
      </c>
      <c r="F5" s="4" t="inlineStr">
        <is>
          <t>Financials - Tally</t>
        </is>
      </c>
      <c r="G5" s="4" t="inlineStr">
        <is>
          <t>Winman - Tally</t>
        </is>
      </c>
      <c r="H5" s="4" t="inlineStr">
        <is>
          <t>Status</t>
        </is>
      </c>
      <c r="I5" s="4" t="inlineStr">
        <is>
          <t>Remarks</t>
        </is>
      </c>
    </row>
    <row r="6">
      <c r="A6" s="5" t="inlineStr">
        <is>
          <t>BALANCE SHEET - PARTNERS' FUNDS AND LIABILITIES</t>
        </is>
      </c>
    </row>
    <row r="7">
      <c r="A7" s="6" t="inlineStr">
        <is>
          <t>Liab</t>
        </is>
      </c>
      <c r="B7" s="7" t="inlineStr">
        <is>
          <t>Partners' capital / contribution</t>
        </is>
      </c>
      <c r="C7" s="8" t="n">
        <v>0</v>
      </c>
      <c r="D7" s="8" t="n">
        <v>200000</v>
      </c>
      <c r="E7" s="8" t="n">
        <v>0</v>
      </c>
      <c r="F7" s="9">
        <f>D7-C7</f>
        <v/>
      </c>
      <c r="G7" s="9">
        <f>E7-C7</f>
        <v/>
      </c>
      <c r="H7" s="6">
        <f>IF(AND(ABS(F7)&lt;1,ABS(G7)&lt;1),"Matches",IF(ABS(F7)&lt;1,"Winman differs",IF(ABS(G7)&lt;1,"Financials differ","Both differ")))</f>
        <v/>
      </c>
      <c r="I7" s="7" t="inlineStr">
        <is>
          <t>No capital ledger exists in the Tally trial balance (and no opening balances from FY 2024-25).</t>
        </is>
      </c>
    </row>
    <row r="8">
      <c r="A8" s="6" t="inlineStr">
        <is>
          <t>Liab</t>
        </is>
      </c>
      <c r="B8" s="7" t="inlineStr">
        <is>
          <t>Profit / (loss) for the year (current account / P&amp;L balance)</t>
        </is>
      </c>
      <c r="C8" s="10">
        <f>C35</f>
        <v/>
      </c>
      <c r="D8" s="8" t="n">
        <v>-13721</v>
      </c>
      <c r="E8" s="8" t="n">
        <v>-13721</v>
      </c>
      <c r="F8" s="9">
        <f>D8-C8</f>
        <v/>
      </c>
      <c r="G8" s="9">
        <f>E8-C8</f>
        <v/>
      </c>
      <c r="H8" s="6">
        <f>IF(AND(ABS(F8)&lt;1,ABS(G8)&lt;1),"Matches",IF(ABS(F8)&lt;1,"Winman differs",IF(ABS(G8)&lt;1,"Financials differ","Both differ")))</f>
        <v/>
      </c>
      <c r="I8" s="7" t="inlineStr">
        <is>
          <t>Tally: profit, as computed in the P&amp;L section below. Financials and Winman: loss of 13,721.</t>
        </is>
      </c>
    </row>
    <row r="9">
      <c r="A9" s="6" t="inlineStr">
        <is>
          <t>Liab</t>
        </is>
      </c>
      <c r="B9" s="7" t="inlineStr">
        <is>
          <t>Loan from Samartha Raghava Nagabhushanam (liability)</t>
        </is>
      </c>
      <c r="C9" s="8" t="n">
        <v>0</v>
      </c>
      <c r="D9" s="8" t="n">
        <v>250000</v>
      </c>
      <c r="E9" s="8" t="n">
        <v>0</v>
      </c>
      <c r="F9" s="9">
        <f>D9-C9</f>
        <v/>
      </c>
      <c r="G9" s="9">
        <f>E9-C9</f>
        <v/>
      </c>
      <c r="H9" s="6">
        <f>IF(AND(ABS(F9)&lt;1,ABS(G9)&lt;1),"Matches",IF(ABS(F9)&lt;1,"Winman differs",IF(ABS(G9)&lt;1,"Financials differ","Both differ")))</f>
        <v/>
      </c>
      <c r="I9" s="7" t="inlineStr">
        <is>
          <t>Tally's Samartha ledger has a DEBIT balance (asset, see below), not a credit. No Rs 2,50,000 loan is in the books.</t>
        </is>
      </c>
    </row>
    <row r="10">
      <c r="A10" s="6" t="inlineStr">
        <is>
          <t>Liab</t>
        </is>
      </c>
      <c r="B10" s="7" t="inlineStr">
        <is>
          <t>Sundry creditors / Trade payables</t>
        </is>
      </c>
      <c r="C10" s="8" t="n">
        <v>28229.33</v>
      </c>
      <c r="D10" s="8" t="n">
        <v>28229</v>
      </c>
      <c r="E10" s="8" t="n">
        <v>28229</v>
      </c>
      <c r="F10" s="9">
        <f>D10-C10</f>
        <v/>
      </c>
      <c r="G10" s="9">
        <f>E10-C10</f>
        <v/>
      </c>
      <c r="H10" s="6">
        <f>IF(AND(ABS(F10)&lt;1,ABS(G10)&lt;1),"Matches",IF(ABS(F10)&lt;1,"Winman differs",IF(ABS(G10)&lt;1,"Financials differ","Both differ")))</f>
        <v/>
      </c>
      <c r="I10" s="7" t="inlineStr"/>
    </row>
    <row r="11">
      <c r="A11" s="6" t="inlineStr">
        <is>
          <t>Liab</t>
        </is>
      </c>
      <c r="B11" s="7" t="inlineStr">
        <is>
          <t>Duties &amp; taxes (net): TDS 94J 9,000 + output CGST/SGST 1,66,271.22 - GST payable Dr 1,65,616 - input CGST/SGST 705.32</t>
        </is>
      </c>
      <c r="C11" s="8" t="n">
        <v>8949.9</v>
      </c>
      <c r="D11" s="8" t="n">
        <v>8950</v>
      </c>
      <c r="E11" s="8" t="n">
        <v>8950</v>
      </c>
      <c r="F11" s="9">
        <f>D11-C11</f>
        <v/>
      </c>
      <c r="G11" s="9">
        <f>E11-C11</f>
        <v/>
      </c>
      <c r="H11" s="6">
        <f>IF(AND(ABS(F11)&lt;1,ABS(G11)&lt;1),"Matches",IF(ABS(F11)&lt;1,"Winman differs",IF(ABS(G11)&lt;1,"Financials differ","Both differ")))</f>
        <v/>
      </c>
      <c r="I11" s="7" t="inlineStr">
        <is>
          <t>This is the Rs 8,950 'Other payables' - it is entirely net GST and TDS payable.</t>
        </is>
      </c>
    </row>
    <row r="12">
      <c r="A12" s="11" t="inlineStr">
        <is>
          <t>TOTAL</t>
        </is>
      </c>
      <c r="B12" s="12" t="inlineStr">
        <is>
          <t>Total partners' funds and liabilities</t>
        </is>
      </c>
      <c r="C12" s="13">
        <f>SUM(C7:C11)</f>
        <v/>
      </c>
      <c r="D12" s="13">
        <f>SUM(D7:D11)</f>
        <v/>
      </c>
      <c r="E12" s="13">
        <f>SUM(E7:E11)</f>
        <v/>
      </c>
      <c r="F12" s="14">
        <f>D12-C12</f>
        <v/>
      </c>
      <c r="G12" s="14">
        <f>E12-C12</f>
        <v/>
      </c>
      <c r="H12" s="11">
        <f>IF(AND(ABS(F12)&lt;1,ABS(G12)&lt;1),"Matches",IF(ABS(F12)&lt;1,"Winman differs",IF(ABS(G12)&lt;1,"Financials differ","Both differ")))</f>
        <v/>
      </c>
      <c r="I12" s="12" t="inlineStr"/>
    </row>
    <row r="13">
      <c r="A13" s="5" t="inlineStr">
        <is>
          <t>BALANCE SHEET - ASSETS</t>
        </is>
      </c>
    </row>
    <row r="14">
      <c r="A14" s="6" t="inlineStr">
        <is>
          <t>Asset</t>
        </is>
      </c>
      <c r="B14" s="7" t="inlineStr">
        <is>
          <t>Samartha Raghava Nagabhushanam - ledger 'Loan From Samarha...' (Dr balance) = Advances</t>
        </is>
      </c>
      <c r="C14" s="8" t="n">
        <v>409311.61</v>
      </c>
      <c r="D14" s="8" t="n">
        <v>409311</v>
      </c>
      <c r="E14" s="8" t="n">
        <v>409311</v>
      </c>
      <c r="F14" s="9">
        <f>D14-C14</f>
        <v/>
      </c>
      <c r="G14" s="9">
        <f>E14-C14</f>
        <v/>
      </c>
      <c r="H14" s="6">
        <f>IF(AND(ABS(F14)&lt;1,ABS(G14)&lt;1),"Matches",IF(ABS(F14)&lt;1,"Winman differs",IF(ABS(G14)&lt;1,"Financials differ","Both differ")))</f>
        <v/>
      </c>
      <c r="I14" s="7" t="inlineStr">
        <is>
          <t>Debit balance on a partner's ledger: an amount due FROM Samartha to the LLP.</t>
        </is>
      </c>
    </row>
    <row r="15">
      <c r="A15" s="6" t="inlineStr">
        <is>
          <t>Asset</t>
        </is>
      </c>
      <c r="B15" s="7" t="inlineStr">
        <is>
          <t>HDFC Bank Limited</t>
        </is>
      </c>
      <c r="C15" s="8" t="n">
        <v>45672.76</v>
      </c>
      <c r="D15" s="8" t="n">
        <v>45672</v>
      </c>
      <c r="E15" s="8" t="n">
        <v>45672</v>
      </c>
      <c r="F15" s="9">
        <f>D15-C15</f>
        <v/>
      </c>
      <c r="G15" s="9">
        <f>E15-C15</f>
        <v/>
      </c>
      <c r="H15" s="6">
        <f>IF(AND(ABS(F15)&lt;1,ABS(G15)&lt;1),"Matches",IF(ABS(F15)&lt;1,"Winman differs",IF(ABS(G15)&lt;1,"Financials differ","Both differ")))</f>
        <v/>
      </c>
      <c r="I15" s="7" t="inlineStr"/>
    </row>
    <row r="16">
      <c r="A16" s="6" t="inlineStr">
        <is>
          <t>Asset</t>
        </is>
      </c>
      <c r="B16" s="7" t="inlineStr">
        <is>
          <t>TDS 2025-26 (TDS receivable)</t>
        </is>
      </c>
      <c r="C16" s="8" t="n">
        <v>18475.44</v>
      </c>
      <c r="D16" s="8" t="n">
        <v>0</v>
      </c>
      <c r="E16" s="8" t="n">
        <v>0</v>
      </c>
      <c r="F16" s="9">
        <f>D16-C16</f>
        <v/>
      </c>
      <c r="G16" s="9">
        <f>E16-C16</f>
        <v/>
      </c>
      <c r="H16" s="6">
        <f>IF(AND(ABS(F16)&lt;1,ABS(G16)&lt;1),"Matches",IF(ABS(F16)&lt;1,"Winman differs",IF(ABS(G16)&lt;1,"Financials differ","Both differ")))</f>
        <v/>
      </c>
      <c r="I16" s="7" t="inlineStr">
        <is>
          <t>TDS receivable from Income Tax, not cash.</t>
        </is>
      </c>
    </row>
    <row r="17">
      <c r="A17" s="6" t="inlineStr">
        <is>
          <t>Asset</t>
        </is>
      </c>
      <c r="B17" s="7" t="inlineStr">
        <is>
          <t>Cash in hand</t>
        </is>
      </c>
      <c r="C17" s="8" t="n">
        <v>0</v>
      </c>
      <c r="D17" s="8" t="n">
        <v>18475</v>
      </c>
      <c r="E17" s="8" t="n">
        <v>0</v>
      </c>
      <c r="F17" s="9">
        <f>D17-C17</f>
        <v/>
      </c>
      <c r="G17" s="9">
        <f>E17-C17</f>
        <v/>
      </c>
      <c r="H17" s="6">
        <f>IF(AND(ABS(F17)&lt;1,ABS(G17)&lt;1),"Matches",IF(ABS(F17)&lt;1,"Winman differs",IF(ABS(G17)&lt;1,"Financials differ","Both differ")))</f>
        <v/>
      </c>
      <c r="I17" s="7" t="inlineStr">
        <is>
          <t>Financials show the TDS 18,475 as cash in hand.</t>
        </is>
      </c>
    </row>
    <row r="18">
      <c r="A18" s="6" t="inlineStr">
        <is>
          <t>Asset</t>
        </is>
      </c>
      <c r="B18" s="7" t="inlineStr">
        <is>
          <t>Cash - Others</t>
        </is>
      </c>
      <c r="C18" s="8" t="n">
        <v>0</v>
      </c>
      <c r="D18" s="8" t="n">
        <v>0</v>
      </c>
      <c r="E18" s="8" t="n">
        <v>18475</v>
      </c>
      <c r="F18" s="9">
        <f>D18-C18</f>
        <v/>
      </c>
      <c r="G18" s="9">
        <f>E18-C18</f>
        <v/>
      </c>
      <c r="H18" s="6">
        <f>IF(AND(ABS(F18)&lt;1,ABS(G18)&lt;1),"Matches",IF(ABS(F18)&lt;1,"Winman differs",IF(ABS(G18)&lt;1,"Financials differ","Both differ")))</f>
        <v/>
      </c>
      <c r="I18" s="7" t="inlineStr">
        <is>
          <t>Winman shows the TDS 18,475 as cash - others.</t>
        </is>
      </c>
    </row>
    <row r="19">
      <c r="A19" s="11" t="inlineStr">
        <is>
          <t>TOTAL</t>
        </is>
      </c>
      <c r="B19" s="12" t="inlineStr">
        <is>
          <t>Total assets</t>
        </is>
      </c>
      <c r="C19" s="13">
        <f>SUM(C14:C18)</f>
        <v/>
      </c>
      <c r="D19" s="13">
        <f>SUM(D14:D18)</f>
        <v/>
      </c>
      <c r="E19" s="13">
        <f>SUM(E14:E18)</f>
        <v/>
      </c>
      <c r="F19" s="14">
        <f>D19-C19</f>
        <v/>
      </c>
      <c r="G19" s="14">
        <f>E19-C19</f>
        <v/>
      </c>
      <c r="H19" s="11">
        <f>IF(AND(ABS(F19)&lt;1,ABS(G19)&lt;1),"Matches",IF(ABS(F19)&lt;1,"Winman differs",IF(ABS(G19)&lt;1,"Financials differ","Both differ")))</f>
        <v/>
      </c>
      <c r="I19" s="12" t="inlineStr"/>
    </row>
    <row r="20">
      <c r="A20" s="11" t="inlineStr">
        <is>
          <t>CHECK</t>
        </is>
      </c>
      <c r="B20" s="12" t="inlineStr">
        <is>
          <t>Assets less liabilities (should be nil)</t>
        </is>
      </c>
      <c r="C20" s="13">
        <f>C19-C12</f>
        <v/>
      </c>
      <c r="D20" s="13">
        <f>D19-D12</f>
        <v/>
      </c>
      <c r="E20" s="13">
        <f>E19-E12</f>
        <v/>
      </c>
      <c r="F20" s="14">
        <f>D20-C20</f>
        <v/>
      </c>
      <c r="G20" s="14">
        <f>E20-C20</f>
        <v/>
      </c>
      <c r="H20" s="11">
        <f>IF(AND(ABS(F20)&lt;1,ABS(G20)&lt;1),"Matches",IF(ABS(F20)&lt;1,"Winman differs",IF(ABS(G20)&lt;1,"Financials differ","Both differ")))</f>
        <v/>
      </c>
      <c r="I20" s="12" t="inlineStr">
        <is>
          <t>Tally and Financials each balance; Winman is short by Rs 4,50,000.</t>
        </is>
      </c>
    </row>
    <row r="21">
      <c r="A21" s="5" t="inlineStr">
        <is>
          <t>PROFIT AND LOSS - INCOME</t>
        </is>
      </c>
    </row>
    <row r="22">
      <c r="A22" s="6" t="inlineStr">
        <is>
          <t>Inc</t>
        </is>
      </c>
      <c r="B22" s="7" t="inlineStr">
        <is>
          <t>Sponsorship Amount (sale of services)</t>
        </is>
      </c>
      <c r="C22" s="8" t="n">
        <v>923729</v>
      </c>
      <c r="D22" s="8" t="n">
        <v>923729</v>
      </c>
      <c r="E22" s="8" t="n">
        <v>923729</v>
      </c>
      <c r="F22" s="9">
        <f>D22-C22</f>
        <v/>
      </c>
      <c r="G22" s="9">
        <f>E22-C22</f>
        <v/>
      </c>
      <c r="H22" s="6">
        <f>IF(AND(ABS(F22)&lt;1,ABS(G22)&lt;1),"Matches",IF(ABS(F22)&lt;1,"Winman differs",IF(ABS(G22)&lt;1,"Financials differ","Both differ")))</f>
        <v/>
      </c>
      <c r="I22" s="7" t="inlineStr">
        <is>
          <t>Tally charged 18% GST on this (output CGST + SGST 1,66,271.22) - it is sponsorship income from services.</t>
        </is>
      </c>
    </row>
    <row r="23">
      <c r="A23" s="11" t="inlineStr">
        <is>
          <t>TOTAL</t>
        </is>
      </c>
      <c r="B23" s="12" t="inlineStr">
        <is>
          <t>Total revenue</t>
        </is>
      </c>
      <c r="C23" s="13">
        <f>C22</f>
        <v/>
      </c>
      <c r="D23" s="13">
        <f>D22</f>
        <v/>
      </c>
      <c r="E23" s="13">
        <f>E22</f>
        <v/>
      </c>
      <c r="F23" s="14">
        <f>D23-C23</f>
        <v/>
      </c>
      <c r="G23" s="14">
        <f>E23-C23</f>
        <v/>
      </c>
      <c r="H23" s="11">
        <f>IF(AND(ABS(F23)&lt;1,ABS(G23)&lt;1),"Matches",IF(ABS(F23)&lt;1,"Winman differs",IF(ABS(G23)&lt;1,"Financials differ","Both differ")))</f>
        <v/>
      </c>
      <c r="I23" s="12" t="inlineStr"/>
    </row>
    <row r="24">
      <c r="A24" s="5" t="inlineStr">
        <is>
          <t>PROFIT AND LOSS - EXPENSES</t>
        </is>
      </c>
    </row>
    <row r="25">
      <c r="A25" s="6" t="inlineStr">
        <is>
          <t>Exp</t>
        </is>
      </c>
      <c r="B25" s="7" t="inlineStr">
        <is>
          <t>Marketing and Research Expenses (Advertisement)</t>
        </is>
      </c>
      <c r="C25" s="8" t="n">
        <v>304000</v>
      </c>
      <c r="D25" s="8" t="n">
        <v>304000</v>
      </c>
      <c r="E25" s="8" t="n">
        <v>304000</v>
      </c>
      <c r="F25" s="9">
        <f>D25-C25</f>
        <v/>
      </c>
      <c r="G25" s="9">
        <f>E25-C25</f>
        <v/>
      </c>
      <c r="H25" s="6">
        <f>IF(AND(ABS(F25)&lt;1,ABS(G25)&lt;1),"Matches",IF(ABS(F25)&lt;1,"Winman differs",IF(ABS(G25)&lt;1,"Financials differ","Both differ")))</f>
        <v/>
      </c>
      <c r="I25" s="7" t="inlineStr"/>
    </row>
    <row r="26">
      <c r="A26" s="6" t="inlineStr">
        <is>
          <t>Exp</t>
        </is>
      </c>
      <c r="B26" s="7" t="inlineStr">
        <is>
          <t>Mobile Expenses (Telephone)</t>
        </is>
      </c>
      <c r="C26" s="8" t="n">
        <v>3918.5</v>
      </c>
      <c r="D26" s="8" t="n">
        <v>3918</v>
      </c>
      <c r="E26" s="8" t="n">
        <v>3918</v>
      </c>
      <c r="F26" s="9">
        <f>D26-C26</f>
        <v/>
      </c>
      <c r="G26" s="9">
        <f>E26-C26</f>
        <v/>
      </c>
      <c r="H26" s="6">
        <f>IF(AND(ABS(F26)&lt;1,ABS(G26)&lt;1),"Matches",IF(ABS(F26)&lt;1,"Winman differs",IF(ABS(G26)&lt;1,"Financials differ","Both differ")))</f>
        <v/>
      </c>
      <c r="I26" s="7" t="inlineStr"/>
    </row>
    <row r="27">
      <c r="A27" s="6" t="inlineStr">
        <is>
          <t>Exp</t>
        </is>
      </c>
      <c r="B27" s="7" t="inlineStr">
        <is>
          <t>Bank Charges</t>
        </is>
      </c>
      <c r="C27" s="8" t="n">
        <v>1017.75</v>
      </c>
      <c r="D27" s="8" t="n">
        <v>1018</v>
      </c>
      <c r="E27" s="8" t="n">
        <v>1018</v>
      </c>
      <c r="F27" s="9">
        <f>D27-C27</f>
        <v/>
      </c>
      <c r="G27" s="9">
        <f>E27-C27</f>
        <v/>
      </c>
      <c r="H27" s="6">
        <f>IF(AND(ABS(F27)&lt;1,ABS(G27)&lt;1),"Matches",IF(ABS(F27)&lt;1,"Winman differs",IF(ABS(G27)&lt;1,"Financials differ","Both differ")))</f>
        <v/>
      </c>
      <c r="I27" s="7" t="inlineStr"/>
    </row>
    <row r="28">
      <c r="A28" s="6" t="inlineStr">
        <is>
          <t>Exp</t>
        </is>
      </c>
      <c r="B28" s="7" t="inlineStr">
        <is>
          <t>Branding and Promotions</t>
        </is>
      </c>
      <c r="C28" s="8" t="n">
        <v>170688.39</v>
      </c>
      <c r="D28" s="8" t="n">
        <v>170688</v>
      </c>
      <c r="E28" s="8" t="n">
        <v>170688</v>
      </c>
      <c r="F28" s="9">
        <f>D28-C28</f>
        <v/>
      </c>
      <c r="G28" s="9">
        <f>E28-C28</f>
        <v/>
      </c>
      <c r="H28" s="6">
        <f>IF(AND(ABS(F28)&lt;1,ABS(G28)&lt;1),"Matches",IF(ABS(F28)&lt;1,"Winman differs",IF(ABS(G28)&lt;1,"Financials differ","Both differ")))</f>
        <v/>
      </c>
      <c r="I28" s="7" t="inlineStr"/>
    </row>
    <row r="29">
      <c r="A29" s="6" t="inlineStr">
        <is>
          <t>Exp</t>
        </is>
      </c>
      <c r="B29" s="7" t="inlineStr">
        <is>
          <t>Interest on TDS</t>
        </is>
      </c>
      <c r="C29" s="8" t="n">
        <v>1824</v>
      </c>
      <c r="D29" s="8" t="n">
        <v>1824</v>
      </c>
      <c r="E29" s="8" t="n">
        <v>1824</v>
      </c>
      <c r="F29" s="9">
        <f>D29-C29</f>
        <v/>
      </c>
      <c r="G29" s="9">
        <f>E29-C29</f>
        <v/>
      </c>
      <c r="H29" s="6">
        <f>IF(AND(ABS(F29)&lt;1,ABS(G29)&lt;1),"Matches",IF(ABS(F29)&lt;1,"Winman differs",IF(ABS(G29)&lt;1,"Financials differ","Both differ")))</f>
        <v/>
      </c>
      <c r="I29" s="7" t="inlineStr"/>
    </row>
    <row r="30">
      <c r="A30" s="6" t="inlineStr">
        <is>
          <t>Exp</t>
        </is>
      </c>
      <c r="B30" s="7" t="inlineStr">
        <is>
          <t>Rates and Taxes</t>
        </is>
      </c>
      <c r="C30" s="8" t="n">
        <v>6000</v>
      </c>
      <c r="D30" s="8" t="n">
        <v>6000</v>
      </c>
      <c r="E30" s="8" t="n">
        <v>6000</v>
      </c>
      <c r="F30" s="9">
        <f>D30-C30</f>
        <v/>
      </c>
      <c r="G30" s="9">
        <f>E30-C30</f>
        <v/>
      </c>
      <c r="H30" s="6">
        <f>IF(AND(ABS(F30)&lt;1,ABS(G30)&lt;1),"Matches",IF(ABS(F30)&lt;1,"Winman differs",IF(ABS(G30)&lt;1,"Financials differ","Both differ")))</f>
        <v/>
      </c>
      <c r="I30" s="7" t="inlineStr"/>
    </row>
    <row r="31">
      <c r="A31" s="6" t="inlineStr">
        <is>
          <t>Exp</t>
        </is>
      </c>
      <c r="B31" s="7" t="inlineStr">
        <is>
          <t>Business promotion</t>
        </is>
      </c>
      <c r="C31" s="8" t="n">
        <v>0</v>
      </c>
      <c r="D31" s="8" t="n">
        <v>225000</v>
      </c>
      <c r="E31" s="8" t="n">
        <v>225000</v>
      </c>
      <c r="F31" s="9">
        <f>D31-C31</f>
        <v/>
      </c>
      <c r="G31" s="9">
        <f>E31-C31</f>
        <v/>
      </c>
      <c r="H31" s="6">
        <f>IF(AND(ABS(F31)&lt;1,ABS(G31)&lt;1),"Matches",IF(ABS(F31)&lt;1,"Winman differs",IF(ABS(G31)&lt;1,"Financials differ","Both differ")))</f>
        <v/>
      </c>
      <c r="I31" s="7" t="inlineStr">
        <is>
          <t>NOT IN TALLY.</t>
        </is>
      </c>
    </row>
    <row r="32">
      <c r="A32" s="6" t="inlineStr">
        <is>
          <t>Exp</t>
        </is>
      </c>
      <c r="B32" s="7" t="inlineStr">
        <is>
          <t>Business expenses</t>
        </is>
      </c>
      <c r="C32" s="8" t="n">
        <v>0</v>
      </c>
      <c r="D32" s="8" t="n">
        <v>225000</v>
      </c>
      <c r="E32" s="8" t="n">
        <v>225000</v>
      </c>
      <c r="F32" s="9">
        <f>D32-C32</f>
        <v/>
      </c>
      <c r="G32" s="9">
        <f>E32-C32</f>
        <v/>
      </c>
      <c r="H32" s="6">
        <f>IF(AND(ABS(F32)&lt;1,ABS(G32)&lt;1),"Matches",IF(ABS(F32)&lt;1,"Winman differs",IF(ABS(G32)&lt;1,"Financials differ","Both differ")))</f>
        <v/>
      </c>
      <c r="I32" s="7" t="inlineStr">
        <is>
          <t>NOT IN TALLY.</t>
        </is>
      </c>
    </row>
    <row r="33">
      <c r="A33" s="6" t="inlineStr">
        <is>
          <t>Exp</t>
        </is>
      </c>
      <c r="B33" s="7" t="inlineStr">
        <is>
          <t>Round Off</t>
        </is>
      </c>
      <c r="C33" s="8" t="n">
        <v>-0.22</v>
      </c>
      <c r="D33" s="8" t="n">
        <v>2</v>
      </c>
      <c r="E33" s="8" t="n">
        <v>0</v>
      </c>
      <c r="F33" s="9">
        <f>D33-C33</f>
        <v/>
      </c>
      <c r="G33" s="9">
        <f>E33-C33</f>
        <v/>
      </c>
      <c r="H33" s="6">
        <f>IF(AND(ABS(F33)&lt;1,ABS(G33)&lt;1),"Matches",IF(ABS(F33)&lt;1,"Winman differs",IF(ABS(G33)&lt;1,"Financials differ","Both differ")))</f>
        <v/>
      </c>
      <c r="I33" s="7" t="inlineStr">
        <is>
          <t>Tally: 0.22 credit. Financials: Rs 2 added to clear the opening difference.</t>
        </is>
      </c>
    </row>
    <row r="34">
      <c r="A34" s="11" t="inlineStr">
        <is>
          <t>TOTAL</t>
        </is>
      </c>
      <c r="B34" s="12" t="inlineStr">
        <is>
          <t>Total expenses</t>
        </is>
      </c>
      <c r="C34" s="13">
        <f>SUM(C25:C33)</f>
        <v/>
      </c>
      <c r="D34" s="13">
        <f>SUM(D25:D33)</f>
        <v/>
      </c>
      <c r="E34" s="13">
        <f>SUM(E25:E33)</f>
        <v/>
      </c>
      <c r="F34" s="14">
        <f>D34-C34</f>
        <v/>
      </c>
      <c r="G34" s="14">
        <f>E34-C34</f>
        <v/>
      </c>
      <c r="H34" s="11">
        <f>IF(AND(ABS(F34)&lt;1,ABS(G34)&lt;1),"Matches",IF(ABS(F34)&lt;1,"Winman differs",IF(ABS(G34)&lt;1,"Financials differ","Both differ")))</f>
        <v/>
      </c>
      <c r="I34" s="12" t="inlineStr"/>
    </row>
    <row r="35">
      <c r="A35" s="11" t="inlineStr">
        <is>
          <t>RESULT</t>
        </is>
      </c>
      <c r="B35" s="12" t="inlineStr">
        <is>
          <t>Net profit / (loss) for the year</t>
        </is>
      </c>
      <c r="C35" s="13">
        <f>C23-C34</f>
        <v/>
      </c>
      <c r="D35" s="13">
        <f>D23-D34</f>
        <v/>
      </c>
      <c r="E35" s="13">
        <f>E23-E34</f>
        <v/>
      </c>
      <c r="F35" s="14">
        <f>D35-C35</f>
        <v/>
      </c>
      <c r="G35" s="14">
        <f>E35-C35</f>
        <v/>
      </c>
      <c r="H35" s="11">
        <f>IF(AND(ABS(F35)&lt;1,ABS(G35)&lt;1),"Matches",IF(ABS(F35)&lt;1,"Winman differs",IF(ABS(G35)&lt;1,"Financials differ","Both differ")))</f>
        <v/>
      </c>
      <c r="I35" s="12" t="inlineStr">
        <is>
          <t>Tally shows a PROFIT of Rs 4,36,280.58. The Rs 4,50,000 of expenses that are not in Tally turn it into a loss.</t>
        </is>
      </c>
    </row>
    <row r="37">
      <c r="A37" s="3" t="inlineStr">
        <is>
          <t>Sources: Tally = tb25-26.xlsx (Trial Balance, closing balances). Financials = outputs/Star_Fandom_India_LLP_Financials_FY2025-26.pdf. Winman = Star_Fandom_India_Llp_ITR_5.xlsm ('Balance Sheet', 'Profit &amp; Loss Account', 'Other Expenses').</t>
        </is>
      </c>
    </row>
  </sheetData>
  <mergeCells count="4">
    <mergeCell ref="A24:I24"/>
    <mergeCell ref="A13:I13"/>
    <mergeCell ref="A21:I21"/>
    <mergeCell ref="A6:I6"/>
  </mergeCells>
  <conditionalFormatting sqref="H6:H36">
    <cfRule type="expression" priority="1" dxfId="0">
      <formula>H6="Matches"</formula>
    </cfRule>
    <cfRule type="expression" priority="2" dxfId="1">
      <formula>AND(H6&lt;&gt;"",H6&lt;&gt;"Matches")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2026-09-24T04:49:09Z</dcterms:created>
  <dcterms:modified xsi:type="dcterms:W3CDTF">2026-09-24T04:49:09Z</dcterms:modified>
</cp:coreProperties>
</file>